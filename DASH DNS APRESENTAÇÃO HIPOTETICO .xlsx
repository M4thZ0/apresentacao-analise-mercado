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vwfs-my.sharepoint.com/personal/matheus_andrade_vwfs_com/Documents/Desktop/MATHEUS/AREA DE TRABALHO - ANTIGO ACESSO/MEUS ARQUIVOS/DNS PARA ANALISAR DESCRED/"/>
    </mc:Choice>
  </mc:AlternateContent>
  <xr:revisionPtr revIDLastSave="1732" documentId="11_F25DC773A252ABDACC104875D15A7C8C5BDE5906" xr6:coauthVersionLast="47" xr6:coauthVersionMax="47" xr10:uidLastSave="{892D078F-DC47-4749-9E02-FF8DB1AE9754}"/>
  <bookViews>
    <workbookView xWindow="-110" yWindow="-110" windowWidth="19420" windowHeight="11500" activeTab="2" xr2:uid="{00000000-000D-0000-FFFF-FFFF00000000}"/>
  </bookViews>
  <sheets>
    <sheet name="BASE" sheetId="1" r:id="rId1"/>
    <sheet name="TABELA DINAMICA" sheetId="3" r:id="rId2"/>
    <sheet name="DASHBOARD" sheetId="4" r:id="rId3"/>
  </sheets>
  <definedNames>
    <definedName name="SegmentaçãodeDados_DIVISAO">#N/A</definedName>
  </definedNames>
  <calcPr calcId="191029"/>
  <pivotCaches>
    <pivotCache cacheId="2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3" l="1"/>
</calcChain>
</file>

<file path=xl/sharedStrings.xml><?xml version="1.0" encoding="utf-8"?>
<sst xmlns="http://schemas.openxmlformats.org/spreadsheetml/2006/main" count="1252" uniqueCount="113">
  <si>
    <t>N° DN</t>
  </si>
  <si>
    <t>DATA DO DESCREDENCIAMENTO</t>
  </si>
  <si>
    <t>REGIONAIS</t>
  </si>
  <si>
    <t>FILIAL</t>
  </si>
  <si>
    <t>MOTIVOS PARA DESCREDENCIAMENTO</t>
  </si>
  <si>
    <t>TIPO DE LOJA</t>
  </si>
  <si>
    <t>REGIONAL 5</t>
  </si>
  <si>
    <t>REGIONAL 2</t>
  </si>
  <si>
    <t>REGIONAL 6</t>
  </si>
  <si>
    <t>REGIONAL 1</t>
  </si>
  <si>
    <t>REGIONAL 4</t>
  </si>
  <si>
    <t>REGIONAL 3</t>
  </si>
  <si>
    <t>LOJISTA</t>
  </si>
  <si>
    <t>CONCESSIONÁRIA</t>
  </si>
  <si>
    <t>FILIAL BELO HORIZONTE</t>
  </si>
  <si>
    <t>FILIAL PARANA INTERIOR</t>
  </si>
  <si>
    <t>FILIAL DF/GO</t>
  </si>
  <si>
    <t>FILIAL GRANDE SP 1</t>
  </si>
  <si>
    <t>FILIAL SANTA CATARINA</t>
  </si>
  <si>
    <t>FILIAL GRANDE SP 2</t>
  </si>
  <si>
    <t>FILIAL SP INTERIOR 1</t>
  </si>
  <si>
    <t>FILIAL RECIFE</t>
  </si>
  <si>
    <t>FILIAL NORTE</t>
  </si>
  <si>
    <t>FILIAL PARANA</t>
  </si>
  <si>
    <t>FILIAL RIO DE JANEIRO</t>
  </si>
  <si>
    <t>FILIAL RIO GRANDE DO SUL</t>
  </si>
  <si>
    <t>FILIAL SP INTERIOR 2</t>
  </si>
  <si>
    <t>FILIAL MS/MT</t>
  </si>
  <si>
    <t>FILIAL SP (CONCESSIONARIAS) CAPITAL</t>
  </si>
  <si>
    <t>FILIAL SP (CONCESSIONARIAS) INTERIOR</t>
  </si>
  <si>
    <t xml:space="preserve">Serasa alto, perdeu potencial de mercado </t>
  </si>
  <si>
    <t>falta de produção / reciprocidade por parte da loja.</t>
  </si>
  <si>
    <t>Fraude Comprovada</t>
  </si>
  <si>
    <t>Restrições relevantes</t>
  </si>
  <si>
    <t>sem produção, estoque da loja não nos oferece oportunidades</t>
  </si>
  <si>
    <t>sem produção</t>
  </si>
  <si>
    <t>Não informado</t>
  </si>
  <si>
    <t>comportamento atípico e veiculos sendo enviados não condizem com perfil da loja.</t>
  </si>
  <si>
    <t xml:space="preserve">Atividades encerradas </t>
  </si>
  <si>
    <t xml:space="preserve">Sem produção </t>
  </si>
  <si>
    <t xml:space="preserve">Fora da politica </t>
  </si>
  <si>
    <t>suspeita de má conduta não condizentes com política Carbank</t>
  </si>
  <si>
    <t>vendido para outro grupo</t>
  </si>
  <si>
    <t>sem retorno</t>
  </si>
  <si>
    <t>Grupo vendido</t>
  </si>
  <si>
    <t>PROBLEMA JUDICIAL</t>
  </si>
  <si>
    <t>Suspeita de Fraude</t>
  </si>
  <si>
    <t>sociedade da empresa foi desfeita e não possuem agente certificado</t>
  </si>
  <si>
    <t>fora do perfil do CarBank</t>
  </si>
  <si>
    <t xml:space="preserve">cadastramento outra dn do grupo </t>
  </si>
  <si>
    <t>DN não atua mais no ramo de veículos</t>
  </si>
  <si>
    <t xml:space="preserve">Lista Restritivas - para reativação consulta Gerente Regional. </t>
  </si>
  <si>
    <t>classificação e potencial não condiz com carteira</t>
  </si>
  <si>
    <t xml:space="preserve">Fora da política do banco </t>
  </si>
  <si>
    <t>conduta fora do padrão</t>
  </si>
  <si>
    <t xml:space="preserve">PASSOU O PONTO </t>
  </si>
  <si>
    <t xml:space="preserve">Sem intersse </t>
  </si>
  <si>
    <t xml:space="preserve">Descredenciamento solicitado pelo DN </t>
  </si>
  <si>
    <t xml:space="preserve">Restrição elvada </t>
  </si>
  <si>
    <t xml:space="preserve">Bloqueio </t>
  </si>
  <si>
    <t>Falta de produtividade</t>
  </si>
  <si>
    <t>Devido nossa posição de operações e cobranças</t>
  </si>
  <si>
    <t>CNPJ inativado</t>
  </si>
  <si>
    <t>Suspeita de conivência com documentação fraudada</t>
  </si>
  <si>
    <t>não cumprimento das regras estabelecidas pelo banco</t>
  </si>
  <si>
    <t>Cnpj Baixado</t>
  </si>
  <si>
    <t>por falta de produção e parceria.</t>
  </si>
  <si>
    <t>cedido atendimento do DN para a Marcas</t>
  </si>
  <si>
    <t>DN fechou e foi para sala comercial , fora da nossa politica de trabalho.</t>
  </si>
  <si>
    <t>Dn abriu novo Cnpj não utilizando mais o atual cadastrado conosco</t>
  </si>
  <si>
    <t>DN com problemas financeiros , com informações negativas no mercado , financiando veículos de particulares e não repassando o valor</t>
  </si>
  <si>
    <t>Dn não mostra interesse em trabalhar com o Banco</t>
  </si>
  <si>
    <t>Evitar Inadimplência</t>
  </si>
  <si>
    <t>ele comercializa somente motos e no momento o banco não está atuando neste segmento</t>
  </si>
  <si>
    <t>Loja fechada</t>
  </si>
  <si>
    <t>DN atua com Motos</t>
  </si>
  <si>
    <t>os mesmo não se enquadram mais nas nossas políticas</t>
  </si>
  <si>
    <t>falta de interesse</t>
  </si>
  <si>
    <t>cnpj foi desativado</t>
  </si>
  <si>
    <t>Atuando fora das politicas VWFS</t>
  </si>
  <si>
    <t>DNs STAND BY</t>
  </si>
  <si>
    <t>FILIAL BELO HORIZONTE INTERIOR</t>
  </si>
  <si>
    <t>fechamento de ponto de venda e incapacidade financeira</t>
  </si>
  <si>
    <r>
      <t>DN não apresentou evolução em produção</t>
    </r>
    <r>
      <rPr>
        <sz val="11"/>
        <color rgb="FF000000"/>
        <rFont val="Calibri"/>
        <family val="2"/>
        <scheme val="minor"/>
      </rPr>
      <t> e potencial</t>
    </r>
  </si>
  <si>
    <t>Loja encerrou suas atividades dentro do autoshopping Center Car</t>
  </si>
  <si>
    <t xml:space="preserve">LOJA FECHOU </t>
  </si>
  <si>
    <t>falta de produtividade</t>
  </si>
  <si>
    <t>falta de produtividade e restrição de 1.6M</t>
  </si>
  <si>
    <t>loja foi fechada e o CNPJ baixado</t>
  </si>
  <si>
    <t>carros antigos - 1 ano sem produção</t>
  </si>
  <si>
    <t>sem simulação - 1 ano sem produção</t>
  </si>
  <si>
    <t>Loja fechou</t>
  </si>
  <si>
    <t>Rótulos de Linha</t>
  </si>
  <si>
    <t>mar</t>
  </si>
  <si>
    <t>abr</t>
  </si>
  <si>
    <t>mai</t>
  </si>
  <si>
    <t>jun</t>
  </si>
  <si>
    <t>jul</t>
  </si>
  <si>
    <t>ago</t>
  </si>
  <si>
    <t>set</t>
  </si>
  <si>
    <t>Contagem de N° DN</t>
  </si>
  <si>
    <t>Contagem de DNs STAND BY</t>
  </si>
  <si>
    <t>DN não apresentou evolução em produção e potencial</t>
  </si>
  <si>
    <t>Contagem de MOTIVOS PARA DESCREDENCIAMENTO</t>
  </si>
  <si>
    <t>DIVISÃO 2</t>
  </si>
  <si>
    <t>DIVISÃO 1</t>
  </si>
  <si>
    <t>DIVISAO</t>
  </si>
  <si>
    <t>(vazio)</t>
  </si>
  <si>
    <t>LOJA FECHOU</t>
  </si>
  <si>
    <t>DN NÃO TRABALHA COM CARBANK</t>
  </si>
  <si>
    <t>dificuldades financeiras</t>
  </si>
  <si>
    <t>FILIAL FORTALEZA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</si>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</sst>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&lt;=9999999]###\-####;\(###\)\ ###\-####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2"/>
      <color theme="1"/>
      <name val="Aptos"/>
      <family val="2"/>
    </font>
    <font>
      <sz val="11"/>
      <color rgb="FF000000"/>
      <name val="Calibri"/>
      <family val="2"/>
      <scheme val="minor"/>
    </font>
    <font>
      <sz val="12"/>
      <color rgb="FF000000"/>
      <name val="Aptos"/>
      <family val="2"/>
    </font>
    <font>
      <sz val="11"/>
      <color rgb="FF000000"/>
      <name val="Aptos Narrow"/>
      <family val="2"/>
    </font>
    <font>
      <sz val="11"/>
      <color rgb="FF424242"/>
      <name val="Calibri"/>
      <family val="2"/>
      <scheme val="minor"/>
    </font>
    <font>
      <sz val="12"/>
      <color theme="1" tint="0.2499465926084170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164" fontId="7" fillId="0" borderId="0" applyFont="0" applyFill="0" applyBorder="0">
      <alignment horizontal="left" vertical="center" wrapText="1" indent="1"/>
    </xf>
  </cellStyleXfs>
  <cellXfs count="19">
    <xf numFmtId="0" fontId="0" fillId="0" borderId="0" xfId="0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1" fillId="0" borderId="0" xfId="0" applyFont="1"/>
    <xf numFmtId="0" fontId="1" fillId="0" borderId="1" xfId="0" applyFont="1" applyBorder="1"/>
    <xf numFmtId="0" fontId="0" fillId="0" borderId="0" xfId="0" applyAlignment="1">
      <alignment horizontal="left"/>
    </xf>
    <xf numFmtId="0" fontId="1" fillId="0" borderId="1" xfId="0" applyFont="1" applyBorder="1" applyAlignment="1">
      <alignment vertical="center"/>
    </xf>
    <xf numFmtId="0" fontId="2" fillId="0" borderId="0" xfId="0" applyFont="1"/>
    <xf numFmtId="0" fontId="2" fillId="0" borderId="1" xfId="0" applyFont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vertical="center"/>
    </xf>
    <xf numFmtId="0" fontId="0" fillId="0" borderId="0" xfId="0" pivotButton="1"/>
    <xf numFmtId="0" fontId="0" fillId="2" borderId="0" xfId="0" applyFill="1"/>
    <xf numFmtId="0" fontId="5" fillId="0" borderId="1" xfId="0" applyFont="1" applyBorder="1" applyAlignment="1">
      <alignment horizontal="left"/>
    </xf>
    <xf numFmtId="14" fontId="0" fillId="0" borderId="2" xfId="0" applyNumberFormat="1" applyBorder="1" applyAlignment="1">
      <alignment horizontal="center"/>
    </xf>
    <xf numFmtId="0" fontId="5" fillId="0" borderId="2" xfId="0" applyFont="1" applyBorder="1" applyAlignment="1">
      <alignment horizontal="left"/>
    </xf>
  </cellXfs>
  <cellStyles count="2">
    <cellStyle name="Normal" xfId="0" builtinId="0"/>
    <cellStyle name="Phone" xfId="1" xr:uid="{B6B6F39D-1AE4-4E06-B2F9-C6FFC717C6CD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numFmt numFmtId="0" formatCode="General"/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i val="0"/>
        <sz val="14"/>
        <color theme="0"/>
      </font>
    </dxf>
  </dxfs>
  <tableStyles count="1" defaultTableStyle="TableStyleMedium2" defaultPivotStyle="PivotStyleLight16">
    <tableStyle name="CARBANK" pivot="0" table="0" count="6" xr9:uid="{307222F9-F4D9-4A50-AD06-4B921F7916F5}">
      <tableStyleElement type="wholeTable" dxfId="6"/>
    </tableStyle>
  </tableStyles>
  <colors>
    <mruColors>
      <color rgb="FF0E162C"/>
    </mruColors>
  </colors>
  <extLst>
    <ext xmlns:x14="http://schemas.microsoft.com/office/spreadsheetml/2009/9/main" uri="{46F421CA-312F-682f-3DD2-61675219B42D}">
      <x14:dxfs count="5">
        <dxf>
          <fill>
            <patternFill>
              <bgColor theme="3" tint="-0.499984740745262"/>
            </patternFill>
          </fill>
        </dxf>
        <dxf>
          <fill>
            <patternFill>
              <bgColor theme="3" tint="-0.499984740745262"/>
            </patternFill>
          </fill>
        </dxf>
        <dxf>
          <fill>
            <patternFill>
              <bgColor theme="3" tint="-0.499984740745262"/>
            </patternFill>
          </fill>
        </dxf>
        <dxf>
          <fill>
            <patternFill>
              <bgColor rgb="FF00B050"/>
            </patternFill>
          </fill>
        </dxf>
        <dxf>
          <fill>
            <patternFill>
              <bgColor theme="3" tint="-0.499984740745262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CARBANK">
          <x14:slicerStyleElements>
            <x14:slicerStyleElement type="unselectedItemWithData" dxfId="4"/>
            <x14:slicerStyleElement type="selectedItemWithData" dxfId="3"/>
            <x14:slicerStyleElement type="selectedItemWithNoData" dxfId="2"/>
            <x14:slicerStyleElement type="hoveredUn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DNS APRESENTAÇÃO.xlsx]TABELA DINAMICA!Tabela dinâmica3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tx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TIPO DE LOJA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tx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</c:pivotFmt>
      <c:pivotFmt>
        <c:idx val="8"/>
        <c:spPr>
          <a:solidFill>
            <a:schemeClr val="accent4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solidFill>
            <a:srgbClr val="00B0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solidFill>
            <a:schemeClr val="accent4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solidFill>
            <a:schemeClr val="accent6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'TABELA DINAMICA'!$G$3</c:f>
              <c:strCache>
                <c:ptCount val="1"/>
                <c:pt idx="0">
                  <c:v>Contagem de N° DN</c:v>
                </c:pt>
              </c:strCache>
            </c:strRef>
          </c:tx>
          <c:spPr>
            <a:solidFill>
              <a:schemeClr val="accent4"/>
            </a:solidFill>
          </c:spPr>
          <c:dPt>
            <c:idx val="0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550-403F-AF34-2EAD46B3759D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550-403F-AF34-2EAD46B3759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'TABELA DINAMICA'!$F$4:$F$5</c:f>
              <c:strCache>
                <c:ptCount val="2"/>
                <c:pt idx="0">
                  <c:v>CONCESSIONÁRIA</c:v>
                </c:pt>
                <c:pt idx="1">
                  <c:v>LOJISTA</c:v>
                </c:pt>
              </c:strCache>
            </c:strRef>
          </c:cat>
          <c:val>
            <c:numRef>
              <c:f>'TABELA DINAMICA'!$G$4:$G$5</c:f>
              <c:numCache>
                <c:formatCode>General</c:formatCode>
                <c:ptCount val="2"/>
                <c:pt idx="0">
                  <c:v>12</c:v>
                </c:pt>
                <c:pt idx="1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550-403F-AF34-2EAD46B3759D}"/>
            </c:ext>
          </c:extLst>
        </c:ser>
        <c:ser>
          <c:idx val="1"/>
          <c:order val="1"/>
          <c:tx>
            <c:strRef>
              <c:f>'TABELA DINAMICA'!$H$3</c:f>
              <c:strCache>
                <c:ptCount val="1"/>
                <c:pt idx="0">
                  <c:v>Contagem de DNs STAND BY</c:v>
                </c:pt>
              </c:strCache>
            </c:strRef>
          </c:tx>
          <c:spPr>
            <a:solidFill>
              <a:schemeClr val="accent4"/>
            </a:solidFill>
          </c:spPr>
          <c:dPt>
            <c:idx val="0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F550-403F-AF34-2EAD46B3759D}"/>
              </c:ext>
            </c:extLst>
          </c:dPt>
          <c:dPt>
            <c:idx val="1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F550-403F-AF34-2EAD46B3759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'TABELA DINAMICA'!$F$4:$F$5</c:f>
              <c:strCache>
                <c:ptCount val="2"/>
                <c:pt idx="0">
                  <c:v>CONCESSIONÁRIA</c:v>
                </c:pt>
                <c:pt idx="1">
                  <c:v>LOJISTA</c:v>
                </c:pt>
              </c:strCache>
            </c:strRef>
          </c:cat>
          <c:val>
            <c:numRef>
              <c:f>'TABELA DINAMICA'!$H$4:$H$5</c:f>
              <c:numCache>
                <c:formatCode>General</c:formatCode>
                <c:ptCount val="2"/>
                <c:pt idx="0">
                  <c:v>2</c:v>
                </c:pt>
                <c:pt idx="1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550-403F-AF34-2EAD46B3759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>
      <a:noFill/>
    </a:ln>
    <a:effectLst/>
  </c:spPr>
  <c:txPr>
    <a:bodyPr/>
    <a:lstStyle/>
    <a:p>
      <a:pPr>
        <a:defRPr b="1"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DNS APRESENTAÇÃO.xlsx]TABELA DINAMICA!Tabela dinâmica1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cap="none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pt-BR" sz="1600"/>
              <a:t>DESCREDS. MENSAIS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cap="none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50"/>
          </a:solidFill>
          <a:ln w="9525" cap="flat" cmpd="sng" algn="ctr">
            <a:solidFill>
              <a:srgbClr val="00B050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E162C"/>
          </a:solidFill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</c:pivotFmt>
      <c:pivotFmt>
        <c:idx val="7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'TABELA DINAMICA'!$B$3</c:f>
              <c:strCache>
                <c:ptCount val="1"/>
                <c:pt idx="0">
                  <c:v>Contagem de N° DN</c:v>
                </c:pt>
              </c:strCache>
            </c:strRef>
          </c:tx>
          <c:spPr>
            <a:solidFill>
              <a:srgbClr val="00B050"/>
            </a:solidFill>
            <a:ln w="9525" cap="flat" cmpd="sng" algn="ctr">
              <a:solidFill>
                <a:srgbClr val="00B050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DINAMICA'!$A$4:$A$11</c:f>
              <c:strCache>
                <c:ptCount val="8"/>
                <c:pt idx="0">
                  <c:v>mar</c:v>
                </c:pt>
                <c:pt idx="1">
                  <c:v>abr</c:v>
                </c:pt>
                <c:pt idx="2">
                  <c:v>mai</c:v>
                </c:pt>
                <c:pt idx="3">
                  <c:v>jun</c:v>
                </c:pt>
                <c:pt idx="4">
                  <c:v>jul</c:v>
                </c:pt>
                <c:pt idx="5">
                  <c:v>ago</c:v>
                </c:pt>
                <c:pt idx="6">
                  <c:v>set</c:v>
                </c:pt>
                <c:pt idx="7">
                  <c:v>out</c:v>
                </c:pt>
              </c:strCache>
            </c:strRef>
          </c:cat>
          <c:val>
            <c:numRef>
              <c:f>'TABELA DINAMICA'!$B$4:$B$11</c:f>
              <c:numCache>
                <c:formatCode>General</c:formatCode>
                <c:ptCount val="8"/>
                <c:pt idx="0">
                  <c:v>30</c:v>
                </c:pt>
                <c:pt idx="1">
                  <c:v>16</c:v>
                </c:pt>
                <c:pt idx="2">
                  <c:v>13</c:v>
                </c:pt>
                <c:pt idx="3">
                  <c:v>9</c:v>
                </c:pt>
                <c:pt idx="4">
                  <c:v>22</c:v>
                </c:pt>
                <c:pt idx="5">
                  <c:v>48</c:v>
                </c:pt>
                <c:pt idx="6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AA-4662-87AA-722200F40DA2}"/>
            </c:ext>
          </c:extLst>
        </c:ser>
        <c:ser>
          <c:idx val="1"/>
          <c:order val="1"/>
          <c:tx>
            <c:strRef>
              <c:f>'TABELA DINAMICA'!$C$3</c:f>
              <c:strCache>
                <c:ptCount val="1"/>
                <c:pt idx="0">
                  <c:v>Contagem de DNs STAND BY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Pt>
            <c:idx val="6"/>
            <c:invertIfNegative val="0"/>
            <c:bubble3D val="0"/>
            <c:spPr>
              <a:solidFill>
                <a:srgbClr val="0E162C"/>
              </a:solidFill>
              <a:ln w="9525" cap="flat" cmpd="sng" algn="ctr">
                <a:solidFill>
                  <a:schemeClr val="accent2"/>
                </a:solidFill>
                <a:miter lim="800000"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0-EE6A-4446-9A1F-173A7AB4DE2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DINAMICA'!$A$4:$A$11</c:f>
              <c:strCache>
                <c:ptCount val="8"/>
                <c:pt idx="0">
                  <c:v>mar</c:v>
                </c:pt>
                <c:pt idx="1">
                  <c:v>abr</c:v>
                </c:pt>
                <c:pt idx="2">
                  <c:v>mai</c:v>
                </c:pt>
                <c:pt idx="3">
                  <c:v>jun</c:v>
                </c:pt>
                <c:pt idx="4">
                  <c:v>jul</c:v>
                </c:pt>
                <c:pt idx="5">
                  <c:v>ago</c:v>
                </c:pt>
                <c:pt idx="6">
                  <c:v>set</c:v>
                </c:pt>
                <c:pt idx="7">
                  <c:v>out</c:v>
                </c:pt>
              </c:strCache>
            </c:strRef>
          </c:cat>
          <c:val>
            <c:numRef>
              <c:f>'TABELA DINAMICA'!$C$4:$C$11</c:f>
              <c:numCache>
                <c:formatCode>General</c:formatCode>
                <c:ptCount val="8"/>
                <c:pt idx="6">
                  <c:v>28</c:v>
                </c:pt>
                <c:pt idx="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AA-4662-87AA-722200F40DA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819347696"/>
        <c:axId val="819345776"/>
      </c:barChart>
      <c:catAx>
        <c:axId val="81934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9345776"/>
        <c:crosses val="autoZero"/>
        <c:auto val="1"/>
        <c:lblAlgn val="ctr"/>
        <c:lblOffset val="100"/>
        <c:noMultiLvlLbl val="0"/>
      </c:catAx>
      <c:valAx>
        <c:axId val="819345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934769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noFill/>
      <a:prstDash val="solid"/>
      <a:miter lim="800000"/>
    </a:ln>
    <a:effectLst/>
  </c:spPr>
  <c:txPr>
    <a:bodyPr/>
    <a:lstStyle/>
    <a:p>
      <a:pPr>
        <a:defRPr sz="1200" b="1">
          <a:solidFill>
            <a:schemeClr val="dk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DNS APRESENTAÇÃO.xlsx]TABELA DINAMICA!Tabela dinâmica5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080" b="1" i="0" u="none" strike="noStrike" kern="1200" cap="none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pt-BR" sz="1400"/>
              <a:t>REGIONAIS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1" i="0" u="none" strike="noStrike" kern="1200" cap="none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50"/>
          </a:solidFill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4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E162C"/>
          </a:solidFill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t" anchorCtr="0"/>
            <a:lstStyle/>
            <a:p>
              <a:pPr>
                <a:defRPr lang="en-US" sz="14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E162C"/>
          </a:solidFill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dLbl>
          <c:idx val="0"/>
          <c:layout>
            <c:manualLayout>
              <c:x val="3.0555555555555555E-2"/>
              <c:y val="-3.0911791595631077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t" anchorCtr="0"/>
            <a:lstStyle/>
            <a:p>
              <a:pPr algn="ctr">
                <a:defRPr lang="en-US" sz="14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E162C"/>
          </a:solidFill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dLbl>
          <c:idx val="0"/>
          <c:layout>
            <c:manualLayout>
              <c:x val="3.3333333333333333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t" anchorCtr="0"/>
            <a:lstStyle/>
            <a:p>
              <a:pPr algn="ctr">
                <a:defRPr lang="en-US" sz="14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E162C"/>
          </a:solidFill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dLbl>
          <c:idx val="0"/>
          <c:layout>
            <c:manualLayout>
              <c:x val="4.9999999999999947E-2"/>
              <c:y val="1.73161920302976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t" anchorCtr="0"/>
            <a:lstStyle/>
            <a:p>
              <a:pPr>
                <a:defRPr lang="en-US" sz="14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E162C"/>
          </a:solidFill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dLbl>
          <c:idx val="0"/>
          <c:layout>
            <c:manualLayout>
              <c:x val="3.3333333333333333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t" anchorCtr="0"/>
            <a:lstStyle/>
            <a:p>
              <a:pPr>
                <a:defRPr lang="en-US" sz="14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0E162C"/>
          </a:solidFill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dLbl>
          <c:idx val="0"/>
          <c:layout>
            <c:manualLayout>
              <c:x val="0.1083333333333331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t" anchorCtr="0"/>
            <a:lstStyle/>
            <a:p>
              <a:pPr>
                <a:defRPr lang="en-US" sz="14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'TABELA DINAMICA'!$O$3</c:f>
              <c:strCache>
                <c:ptCount val="1"/>
                <c:pt idx="0">
                  <c:v>Contagem de N° DN</c:v>
                </c:pt>
              </c:strCache>
            </c:strRef>
          </c:tx>
          <c:spPr>
            <a:solidFill>
              <a:srgbClr val="00B050"/>
            </a:solidFill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4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DINAMICA'!$N$4:$N$9</c:f>
              <c:strCache>
                <c:ptCount val="6"/>
                <c:pt idx="0">
                  <c:v>REGIONAL 1</c:v>
                </c:pt>
                <c:pt idx="1">
                  <c:v>REGIONAL 2</c:v>
                </c:pt>
                <c:pt idx="2">
                  <c:v>REGIONAL 3</c:v>
                </c:pt>
                <c:pt idx="3">
                  <c:v>REGIONAL 4</c:v>
                </c:pt>
                <c:pt idx="4">
                  <c:v>REGIONAL 5</c:v>
                </c:pt>
                <c:pt idx="5">
                  <c:v>REGIONAL 6</c:v>
                </c:pt>
              </c:strCache>
            </c:strRef>
          </c:cat>
          <c:val>
            <c:numRef>
              <c:f>'TABELA DINAMICA'!$O$4:$O$9</c:f>
              <c:numCache>
                <c:formatCode>General</c:formatCode>
                <c:ptCount val="6"/>
                <c:pt idx="0">
                  <c:v>74</c:v>
                </c:pt>
                <c:pt idx="1">
                  <c:v>46</c:v>
                </c:pt>
                <c:pt idx="2">
                  <c:v>29</c:v>
                </c:pt>
                <c:pt idx="3">
                  <c:v>7</c:v>
                </c:pt>
                <c:pt idx="4">
                  <c:v>9</c:v>
                </c:pt>
                <c:pt idx="5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15-4CF4-A320-D8C011BE1D47}"/>
            </c:ext>
          </c:extLst>
        </c:ser>
        <c:ser>
          <c:idx val="1"/>
          <c:order val="1"/>
          <c:tx>
            <c:strRef>
              <c:f>'TABELA DINAMICA'!$P$3</c:f>
              <c:strCache>
                <c:ptCount val="1"/>
                <c:pt idx="0">
                  <c:v>Contagem de DNs STAND BY</c:v>
                </c:pt>
              </c:strCache>
            </c:strRef>
          </c:tx>
          <c:spPr>
            <a:solidFill>
              <a:srgbClr val="0E162C"/>
            </a:solidFill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0E162C"/>
              </a:solidFill>
              <a:ln w="9525" cap="flat" cmpd="sng" algn="ctr">
                <a:solidFill>
                  <a:schemeClr val="accent2"/>
                </a:solidFill>
                <a:miter lim="800000"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1-DF16-4764-998F-2E3BEFFD43C1}"/>
              </c:ext>
            </c:extLst>
          </c:dPt>
          <c:dPt>
            <c:idx val="1"/>
            <c:invertIfNegative val="0"/>
            <c:bubble3D val="0"/>
            <c:spPr>
              <a:solidFill>
                <a:srgbClr val="0E162C"/>
              </a:solidFill>
              <a:ln w="9525" cap="flat" cmpd="sng" algn="ctr">
                <a:solidFill>
                  <a:schemeClr val="accent2"/>
                </a:solidFill>
                <a:miter lim="800000"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2-DF16-4764-998F-2E3BEFFD43C1}"/>
              </c:ext>
            </c:extLst>
          </c:dPt>
          <c:dPt>
            <c:idx val="2"/>
            <c:invertIfNegative val="0"/>
            <c:bubble3D val="0"/>
            <c:spPr>
              <a:solidFill>
                <a:srgbClr val="0E162C"/>
              </a:solidFill>
              <a:ln w="9525" cap="flat" cmpd="sng" algn="ctr">
                <a:solidFill>
                  <a:schemeClr val="accent2"/>
                </a:solidFill>
                <a:miter lim="800000"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0-DF16-4764-998F-2E3BEFFD43C1}"/>
              </c:ext>
            </c:extLst>
          </c:dPt>
          <c:dPt>
            <c:idx val="4"/>
            <c:invertIfNegative val="0"/>
            <c:bubble3D val="0"/>
            <c:spPr>
              <a:solidFill>
                <a:srgbClr val="0E162C"/>
              </a:solidFill>
              <a:ln w="9525" cap="flat" cmpd="sng" algn="ctr">
                <a:solidFill>
                  <a:schemeClr val="accent2"/>
                </a:solidFill>
                <a:miter lim="800000"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3-DF16-4764-998F-2E3BEFFD43C1}"/>
              </c:ext>
            </c:extLst>
          </c:dPt>
          <c:dPt>
            <c:idx val="5"/>
            <c:invertIfNegative val="0"/>
            <c:bubble3D val="0"/>
            <c:spPr>
              <a:solidFill>
                <a:srgbClr val="0E162C"/>
              </a:solidFill>
              <a:ln w="9525" cap="flat" cmpd="sng" algn="ctr">
                <a:solidFill>
                  <a:schemeClr val="accent2"/>
                </a:solidFill>
                <a:miter lim="800000"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0-0083-4121-B0BE-4748AD06F840}"/>
              </c:ext>
            </c:extLst>
          </c:dPt>
          <c:dLbls>
            <c:dLbl>
              <c:idx val="0"/>
              <c:layout>
                <c:manualLayout>
                  <c:x val="3.3333333333333333E-2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t" anchorCtr="0"/>
                <a:lstStyle/>
                <a:p>
                  <a:pPr algn="ctr">
                    <a:defRPr lang="en-US" sz="1400" b="1" i="0" u="none" strike="noStrike" kern="120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F16-4764-998F-2E3BEFFD43C1}"/>
                </c:ext>
              </c:extLst>
            </c:dLbl>
            <c:dLbl>
              <c:idx val="1"/>
              <c:layout>
                <c:manualLayout>
                  <c:x val="0.1083333333333331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F16-4764-998F-2E3BEFFD43C1}"/>
                </c:ext>
              </c:extLst>
            </c:dLbl>
            <c:dLbl>
              <c:idx val="2"/>
              <c:layout>
                <c:manualLayout>
                  <c:x val="3.3333333333333333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F16-4764-998F-2E3BEFFD43C1}"/>
                </c:ext>
              </c:extLst>
            </c:dLbl>
            <c:dLbl>
              <c:idx val="4"/>
              <c:layout>
                <c:manualLayout>
                  <c:x val="4.9999999999999947E-2"/>
                  <c:y val="1.73161920302976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F16-4764-998F-2E3BEFFD43C1}"/>
                </c:ext>
              </c:extLst>
            </c:dLbl>
            <c:dLbl>
              <c:idx val="5"/>
              <c:layout>
                <c:manualLayout>
                  <c:x val="3.0555555555555555E-2"/>
                  <c:y val="-3.0911791595631077E-1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t" anchorCtr="0"/>
                <a:lstStyle/>
                <a:p>
                  <a:pPr algn="ctr">
                    <a:defRPr lang="en-US" sz="1400" b="1" i="0" u="none" strike="noStrike" kern="120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083-4121-B0BE-4748AD06F8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t" anchorCtr="0"/>
              <a:lstStyle/>
              <a:p>
                <a:pPr>
                  <a:defRPr lang="en-US" sz="14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'TABELA DINAMICA'!$N$4:$N$9</c:f>
              <c:strCache>
                <c:ptCount val="6"/>
                <c:pt idx="0">
                  <c:v>REGIONAL 1</c:v>
                </c:pt>
                <c:pt idx="1">
                  <c:v>REGIONAL 2</c:v>
                </c:pt>
                <c:pt idx="2">
                  <c:v>REGIONAL 3</c:v>
                </c:pt>
                <c:pt idx="3">
                  <c:v>REGIONAL 4</c:v>
                </c:pt>
                <c:pt idx="4">
                  <c:v>REGIONAL 5</c:v>
                </c:pt>
                <c:pt idx="5">
                  <c:v>REGIONAL 6</c:v>
                </c:pt>
              </c:strCache>
            </c:strRef>
          </c:cat>
          <c:val>
            <c:numRef>
              <c:f>'TABELA DINAMICA'!$P$4:$P$9</c:f>
              <c:numCache>
                <c:formatCode>General</c:formatCode>
                <c:ptCount val="6"/>
                <c:pt idx="0">
                  <c:v>5</c:v>
                </c:pt>
                <c:pt idx="1">
                  <c:v>15</c:v>
                </c:pt>
                <c:pt idx="2">
                  <c:v>3</c:v>
                </c:pt>
                <c:pt idx="3">
                  <c:v>2</c:v>
                </c:pt>
                <c:pt idx="4">
                  <c:v>6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15-4CF4-A320-D8C011BE1D4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30"/>
        <c:overlap val="100"/>
        <c:axId val="1361330304"/>
        <c:axId val="1361347104"/>
      </c:barChart>
      <c:catAx>
        <c:axId val="1361330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1347104"/>
        <c:crosses val="autoZero"/>
        <c:auto val="1"/>
        <c:lblAlgn val="ctr"/>
        <c:lblOffset val="100"/>
        <c:noMultiLvlLbl val="0"/>
      </c:catAx>
      <c:valAx>
        <c:axId val="136134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5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133030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900" b="1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DNS APRESENTAÇÃO.xlsx]TABELA DINAMICA!Tabela dinâmica4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none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MOTIVOS PARA DESCREDS.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none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 DINAMICA'!$U$3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DINAMICA'!$T$4:$T$8</c:f>
              <c:strCache>
                <c:ptCount val="5"/>
                <c:pt idx="0">
                  <c:v>falta de interesse</c:v>
                </c:pt>
                <c:pt idx="1">
                  <c:v>Atividades encerradas </c:v>
                </c:pt>
                <c:pt idx="2">
                  <c:v>Falta de produtividade</c:v>
                </c:pt>
                <c:pt idx="3">
                  <c:v>Restrições relevantes</c:v>
                </c:pt>
                <c:pt idx="4">
                  <c:v>fora do perfil do CarBank</c:v>
                </c:pt>
              </c:strCache>
            </c:strRef>
          </c:cat>
          <c:val>
            <c:numRef>
              <c:f>'TABELA DINAMICA'!$U$4:$U$8</c:f>
              <c:numCache>
                <c:formatCode>General</c:formatCode>
                <c:ptCount val="5"/>
                <c:pt idx="0">
                  <c:v>60</c:v>
                </c:pt>
                <c:pt idx="1">
                  <c:v>58</c:v>
                </c:pt>
                <c:pt idx="2">
                  <c:v>16</c:v>
                </c:pt>
                <c:pt idx="3">
                  <c:v>15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19-44FA-A46D-EB1D94AAA7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95"/>
        <c:overlap val="-40"/>
        <c:axId val="1707094656"/>
        <c:axId val="1707098016"/>
      </c:barChart>
      <c:catAx>
        <c:axId val="170709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7098016"/>
        <c:crosses val="autoZero"/>
        <c:auto val="1"/>
        <c:lblAlgn val="ctr"/>
        <c:lblOffset val="100"/>
        <c:noMultiLvlLbl val="0"/>
      </c:catAx>
      <c:valAx>
        <c:axId val="1707098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7094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000" b="1"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348343</xdr:colOff>
      <xdr:row>1</xdr:row>
      <xdr:rowOff>76200</xdr:rowOff>
    </xdr:from>
    <xdr:to>
      <xdr:col>24</xdr:col>
      <xdr:colOff>250371</xdr:colOff>
      <xdr:row>24</xdr:row>
      <xdr:rowOff>43543</xdr:rowOff>
    </xdr:to>
    <xdr:graphicFrame macro="">
      <xdr:nvGraphicFramePr>
        <xdr:cNvPr id="2" name="Gráfico 3">
          <a:extLst>
            <a:ext uri="{FF2B5EF4-FFF2-40B4-BE49-F238E27FC236}">
              <a16:creationId xmlns:a16="http://schemas.microsoft.com/office/drawing/2014/main" id="{28C8392D-411F-41B6-88BF-EDA1D26AE3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333815</xdr:colOff>
      <xdr:row>23</xdr:row>
      <xdr:rowOff>123533</xdr:rowOff>
    </xdr:from>
    <xdr:to>
      <xdr:col>14</xdr:col>
      <xdr:colOff>17585</xdr:colOff>
      <xdr:row>43</xdr:row>
      <xdr:rowOff>118906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FE0D894-8465-418B-B0FF-C04E9B6843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119086</xdr:colOff>
      <xdr:row>1</xdr:row>
      <xdr:rowOff>149325</xdr:rowOff>
    </xdr:from>
    <xdr:to>
      <xdr:col>34</xdr:col>
      <xdr:colOff>197191</xdr:colOff>
      <xdr:row>46</xdr:row>
      <xdr:rowOff>24296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48A16CE6-C6A1-4144-9C76-A14321052B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103124</xdr:colOff>
      <xdr:row>1</xdr:row>
      <xdr:rowOff>9524</xdr:rowOff>
    </xdr:from>
    <xdr:to>
      <xdr:col>13</xdr:col>
      <xdr:colOff>110931</xdr:colOff>
      <xdr:row>20</xdr:row>
      <xdr:rowOff>22745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A8FB588C-0050-A074-CD1A-0E377355D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8020" y="191494"/>
          <a:ext cx="4306851" cy="3470654"/>
        </a:xfrm>
        <a:prstGeom prst="rect">
          <a:avLst/>
        </a:prstGeom>
      </xdr:spPr>
    </xdr:pic>
    <xdr:clientData/>
  </xdr:twoCellAnchor>
  <xdr:twoCellAnchor>
    <xdr:from>
      <xdr:col>14</xdr:col>
      <xdr:colOff>506992</xdr:colOff>
      <xdr:row>28</xdr:row>
      <xdr:rowOff>59314</xdr:rowOff>
    </xdr:from>
    <xdr:to>
      <xdr:col>25</xdr:col>
      <xdr:colOff>197643</xdr:colOff>
      <xdr:row>47</xdr:row>
      <xdr:rowOff>127139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2CF7949-D31D-4BCE-809C-466EFB6DE5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566483</xdr:colOff>
      <xdr:row>4</xdr:row>
      <xdr:rowOff>97192</xdr:rowOff>
    </xdr:from>
    <xdr:to>
      <xdr:col>15</xdr:col>
      <xdr:colOff>256358</xdr:colOff>
      <xdr:row>6</xdr:row>
      <xdr:rowOff>16601</xdr:rowOff>
    </xdr:to>
    <xdr:sp macro="" textlink="">
      <xdr:nvSpPr>
        <xdr:cNvPr id="16" name="Fluxograma: Processo 15">
          <a:extLst>
            <a:ext uri="{FF2B5EF4-FFF2-40B4-BE49-F238E27FC236}">
              <a16:creationId xmlns:a16="http://schemas.microsoft.com/office/drawing/2014/main" id="{20E4C60C-2449-437E-93C7-CA3F66169119}"/>
            </a:ext>
          </a:extLst>
        </xdr:cNvPr>
        <xdr:cNvSpPr/>
      </xdr:nvSpPr>
      <xdr:spPr>
        <a:xfrm>
          <a:off x="9100883" y="837421"/>
          <a:ext cx="299475" cy="289523"/>
        </a:xfrm>
        <a:prstGeom prst="flowChartProcess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296362</xdr:colOff>
      <xdr:row>4</xdr:row>
      <xdr:rowOff>92800</xdr:rowOff>
    </xdr:from>
    <xdr:to>
      <xdr:col>17</xdr:col>
      <xdr:colOff>294457</xdr:colOff>
      <xdr:row>6</xdr:row>
      <xdr:rowOff>20411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30599B87-E141-0163-5AC2-84F49855DB59}"/>
            </a:ext>
          </a:extLst>
        </xdr:cNvPr>
        <xdr:cNvSpPr txBox="1"/>
      </xdr:nvSpPr>
      <xdr:spPr>
        <a:xfrm>
          <a:off x="9440362" y="833029"/>
          <a:ext cx="1217295" cy="2977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/>
            <a:t>DNs</a:t>
          </a:r>
          <a:r>
            <a:rPr lang="pt-BR" sz="1200" b="1" baseline="0"/>
            <a:t> STAND BY</a:t>
          </a:r>
          <a:endParaRPr lang="pt-BR" sz="1200" b="1"/>
        </a:p>
      </xdr:txBody>
    </xdr:sp>
    <xdr:clientData/>
  </xdr:twoCellAnchor>
  <xdr:twoCellAnchor>
    <xdr:from>
      <xdr:col>14</xdr:col>
      <xdr:colOff>566483</xdr:colOff>
      <xdr:row>6</xdr:row>
      <xdr:rowOff>87668</xdr:rowOff>
    </xdr:from>
    <xdr:to>
      <xdr:col>15</xdr:col>
      <xdr:colOff>250643</xdr:colOff>
      <xdr:row>8</xdr:row>
      <xdr:rowOff>7076</xdr:rowOff>
    </xdr:to>
    <xdr:sp macro="" textlink="">
      <xdr:nvSpPr>
        <xdr:cNvPr id="19" name="Fluxograma: Processo 18">
          <a:extLst>
            <a:ext uri="{FF2B5EF4-FFF2-40B4-BE49-F238E27FC236}">
              <a16:creationId xmlns:a16="http://schemas.microsoft.com/office/drawing/2014/main" id="{736B1204-69D8-446B-B7D6-DC92C0BC2B31}"/>
            </a:ext>
          </a:extLst>
        </xdr:cNvPr>
        <xdr:cNvSpPr/>
      </xdr:nvSpPr>
      <xdr:spPr>
        <a:xfrm>
          <a:off x="9100883" y="1198011"/>
          <a:ext cx="293760" cy="289522"/>
        </a:xfrm>
        <a:prstGeom prst="flowChartProcess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328746</xdr:colOff>
      <xdr:row>6</xdr:row>
      <xdr:rowOff>98516</xdr:rowOff>
    </xdr:from>
    <xdr:to>
      <xdr:col>17</xdr:col>
      <xdr:colOff>252547</xdr:colOff>
      <xdr:row>8</xdr:row>
      <xdr:rowOff>8981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6E983474-E66E-086A-2B2B-BF6941E70CD6}"/>
            </a:ext>
          </a:extLst>
        </xdr:cNvPr>
        <xdr:cNvSpPr txBox="1"/>
      </xdr:nvSpPr>
      <xdr:spPr>
        <a:xfrm>
          <a:off x="9472746" y="1208859"/>
          <a:ext cx="1143001" cy="28057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/>
            <a:t>DNs DESCRED</a:t>
          </a:r>
        </a:p>
      </xdr:txBody>
    </xdr:sp>
    <xdr:clientData/>
  </xdr:twoCellAnchor>
  <xdr:twoCellAnchor>
    <xdr:from>
      <xdr:col>1</xdr:col>
      <xdr:colOff>466775</xdr:colOff>
      <xdr:row>24</xdr:row>
      <xdr:rowOff>74438</xdr:rowOff>
    </xdr:from>
    <xdr:to>
      <xdr:col>2</xdr:col>
      <xdr:colOff>156650</xdr:colOff>
      <xdr:row>25</xdr:row>
      <xdr:rowOff>187130</xdr:rowOff>
    </xdr:to>
    <xdr:sp macro="" textlink="">
      <xdr:nvSpPr>
        <xdr:cNvPr id="22" name="Fluxograma: Processo 21">
          <a:extLst>
            <a:ext uri="{FF2B5EF4-FFF2-40B4-BE49-F238E27FC236}">
              <a16:creationId xmlns:a16="http://schemas.microsoft.com/office/drawing/2014/main" id="{B3BFDED4-C0D8-44D6-BE00-F66791FABDC6}"/>
            </a:ext>
          </a:extLst>
        </xdr:cNvPr>
        <xdr:cNvSpPr/>
      </xdr:nvSpPr>
      <xdr:spPr>
        <a:xfrm>
          <a:off x="1076375" y="4576100"/>
          <a:ext cx="299475" cy="300261"/>
        </a:xfrm>
        <a:prstGeom prst="flowChartProcess">
          <a:avLst/>
        </a:prstGeom>
        <a:solidFill>
          <a:schemeClr val="tx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196654</xdr:colOff>
      <xdr:row>24</xdr:row>
      <xdr:rowOff>79571</xdr:rowOff>
    </xdr:from>
    <xdr:to>
      <xdr:col>4</xdr:col>
      <xdr:colOff>187129</xdr:colOff>
      <xdr:row>26</xdr:row>
      <xdr:rowOff>7181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ABC73843-C528-4DC0-8978-B37FF38A7511}"/>
            </a:ext>
          </a:extLst>
        </xdr:cNvPr>
        <xdr:cNvSpPr txBox="1"/>
      </xdr:nvSpPr>
      <xdr:spPr>
        <a:xfrm>
          <a:off x="1415854" y="4581233"/>
          <a:ext cx="1209675" cy="30274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/>
            <a:t>DNs</a:t>
          </a:r>
          <a:r>
            <a:rPr lang="pt-BR" sz="1200" b="1" baseline="0"/>
            <a:t> STAND BY</a:t>
          </a:r>
          <a:endParaRPr lang="pt-BR" sz="1200" b="1"/>
        </a:p>
      </xdr:txBody>
    </xdr:sp>
    <xdr:clientData/>
  </xdr:twoCellAnchor>
  <xdr:twoCellAnchor>
    <xdr:from>
      <xdr:col>1</xdr:col>
      <xdr:colOff>466775</xdr:colOff>
      <xdr:row>26</xdr:row>
      <xdr:rowOff>64913</xdr:rowOff>
    </xdr:from>
    <xdr:to>
      <xdr:col>2</xdr:col>
      <xdr:colOff>139505</xdr:colOff>
      <xdr:row>27</xdr:row>
      <xdr:rowOff>171891</xdr:rowOff>
    </xdr:to>
    <xdr:sp macro="" textlink="">
      <xdr:nvSpPr>
        <xdr:cNvPr id="24" name="Fluxograma: Processo 23">
          <a:extLst>
            <a:ext uri="{FF2B5EF4-FFF2-40B4-BE49-F238E27FC236}">
              <a16:creationId xmlns:a16="http://schemas.microsoft.com/office/drawing/2014/main" id="{DBBE09E3-9639-4C18-9A6E-48B733C0CB92}"/>
            </a:ext>
          </a:extLst>
        </xdr:cNvPr>
        <xdr:cNvSpPr/>
      </xdr:nvSpPr>
      <xdr:spPr>
        <a:xfrm>
          <a:off x="1076375" y="4941713"/>
          <a:ext cx="282330" cy="294547"/>
        </a:xfrm>
        <a:prstGeom prst="flowChartProcess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217608</xdr:colOff>
      <xdr:row>26</xdr:row>
      <xdr:rowOff>85286</xdr:rowOff>
    </xdr:from>
    <xdr:to>
      <xdr:col>4</xdr:col>
      <xdr:colOff>141409</xdr:colOff>
      <xdr:row>27</xdr:row>
      <xdr:rowOff>179511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FD7FA7D2-020C-4A48-B78A-066CBD42D027}"/>
            </a:ext>
          </a:extLst>
        </xdr:cNvPr>
        <xdr:cNvSpPr txBox="1"/>
      </xdr:nvSpPr>
      <xdr:spPr>
        <a:xfrm>
          <a:off x="1436808" y="4962086"/>
          <a:ext cx="1143001" cy="28179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/>
            <a:t>DNs DESCRED</a:t>
          </a:r>
        </a:p>
      </xdr:txBody>
    </xdr:sp>
    <xdr:clientData/>
  </xdr:twoCellAnchor>
  <xdr:twoCellAnchor editAs="oneCell">
    <xdr:from>
      <xdr:col>0</xdr:col>
      <xdr:colOff>397085</xdr:colOff>
      <xdr:row>5</xdr:row>
      <xdr:rowOff>152887</xdr:rowOff>
    </xdr:from>
    <xdr:to>
      <xdr:col>5</xdr:col>
      <xdr:colOff>44194</xdr:colOff>
      <xdr:row>22</xdr:row>
      <xdr:rowOff>131116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DIVISAO">
              <a:extLst>
                <a:ext uri="{FF2B5EF4-FFF2-40B4-BE49-F238E27FC236}">
                  <a16:creationId xmlns:a16="http://schemas.microsoft.com/office/drawing/2014/main" id="{BE610AD0-C368-4E71-8B27-B2B00887B6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VISA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7085" y="1062738"/>
              <a:ext cx="2717855" cy="30717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oneCellAnchor>
    <xdr:from>
      <xdr:col>8</xdr:col>
      <xdr:colOff>16257</xdr:colOff>
      <xdr:row>34</xdr:row>
      <xdr:rowOff>146814</xdr:rowOff>
    </xdr:from>
    <xdr:ext cx="348343" cy="468013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3708960E-E59E-AB40-E637-3EF5257C6D30}"/>
            </a:ext>
          </a:extLst>
        </xdr:cNvPr>
        <xdr:cNvSpPr txBox="1"/>
      </xdr:nvSpPr>
      <xdr:spPr>
        <a:xfrm>
          <a:off x="4929451" y="6333799"/>
          <a:ext cx="348343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2400">
              <a:solidFill>
                <a:srgbClr val="C00000"/>
              </a:solidFill>
            </a:rPr>
            <a:t>*</a:t>
          </a:r>
        </a:p>
      </xdr:txBody>
    </xdr:sp>
    <xdr:clientData/>
  </xdr:oneCellAnchor>
  <xdr:oneCellAnchor>
    <xdr:from>
      <xdr:col>1</xdr:col>
      <xdr:colOff>319035</xdr:colOff>
      <xdr:row>43</xdr:row>
      <xdr:rowOff>132303</xdr:rowOff>
    </xdr:from>
    <xdr:ext cx="6805709" cy="405432"/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05525522-8D21-BA79-E160-37065C7567C8}"/>
            </a:ext>
          </a:extLst>
        </xdr:cNvPr>
        <xdr:cNvSpPr txBox="1"/>
      </xdr:nvSpPr>
      <xdr:spPr>
        <a:xfrm>
          <a:off x="928635" y="8197780"/>
          <a:ext cx="680570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2000">
              <a:solidFill>
                <a:srgbClr val="C00000"/>
              </a:solidFill>
            </a:rPr>
            <a:t>* ANUCIADO</a:t>
          </a:r>
          <a:r>
            <a:rPr lang="pt-BR" sz="2000" baseline="0">
              <a:solidFill>
                <a:srgbClr val="C00000"/>
              </a:solidFill>
            </a:rPr>
            <a:t> AOS COORDENADORES A NOVA DIVISÃO REMOTA</a:t>
          </a:r>
          <a:endParaRPr lang="pt-BR" sz="2000">
            <a:solidFill>
              <a:srgbClr val="C00000"/>
            </a:solidFill>
          </a:endParaRPr>
        </a:p>
      </xdr:txBody>
    </xdr:sp>
    <xdr:clientData/>
  </xdr:oneCellAnchor>
  <xdr:twoCellAnchor>
    <xdr:from>
      <xdr:col>6</xdr:col>
      <xdr:colOff>404184</xdr:colOff>
      <xdr:row>26</xdr:row>
      <xdr:rowOff>36918</xdr:rowOff>
    </xdr:from>
    <xdr:to>
      <xdr:col>11</xdr:col>
      <xdr:colOff>345568</xdr:colOff>
      <xdr:row>36</xdr:row>
      <xdr:rowOff>15970</xdr:rowOff>
    </xdr:to>
    <xdr:sp macro="" textlink="">
      <xdr:nvSpPr>
        <xdr:cNvPr id="32" name="Forma Livre: Forma 31">
          <a:extLst>
            <a:ext uri="{FF2B5EF4-FFF2-40B4-BE49-F238E27FC236}">
              <a16:creationId xmlns:a16="http://schemas.microsoft.com/office/drawing/2014/main" id="{3FBF6937-440A-8ACB-3AD3-AFFF16430775}"/>
            </a:ext>
          </a:extLst>
        </xdr:cNvPr>
        <xdr:cNvSpPr/>
      </xdr:nvSpPr>
      <xdr:spPr>
        <a:xfrm>
          <a:off x="4089080" y="4768142"/>
          <a:ext cx="3012130" cy="1798753"/>
        </a:xfrm>
        <a:custGeom>
          <a:avLst/>
          <a:gdLst>
            <a:gd name="connsiteX0" fmla="*/ 0 w 2989384"/>
            <a:gd name="connsiteY0" fmla="*/ 1828800 h 1854744"/>
            <a:gd name="connsiteX1" fmla="*/ 293077 w 2989384"/>
            <a:gd name="connsiteY1" fmla="*/ 1828800 h 1854744"/>
            <a:gd name="connsiteX2" fmla="*/ 738554 w 2989384"/>
            <a:gd name="connsiteY2" fmla="*/ 1559170 h 1854744"/>
            <a:gd name="connsiteX3" fmla="*/ 1324708 w 2989384"/>
            <a:gd name="connsiteY3" fmla="*/ 1160585 h 1854744"/>
            <a:gd name="connsiteX4" fmla="*/ 1817077 w 2989384"/>
            <a:gd name="connsiteY4" fmla="*/ 797170 h 1854744"/>
            <a:gd name="connsiteX5" fmla="*/ 2192215 w 2989384"/>
            <a:gd name="connsiteY5" fmla="*/ 433754 h 1854744"/>
            <a:gd name="connsiteX6" fmla="*/ 2332892 w 2989384"/>
            <a:gd name="connsiteY6" fmla="*/ 140677 h 1854744"/>
            <a:gd name="connsiteX7" fmla="*/ 2614246 w 2989384"/>
            <a:gd name="connsiteY7" fmla="*/ 23447 h 1854744"/>
            <a:gd name="connsiteX8" fmla="*/ 2989384 w 2989384"/>
            <a:gd name="connsiteY8" fmla="*/ 0 h 185474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2989384" h="1854744">
              <a:moveTo>
                <a:pt x="0" y="1828800"/>
              </a:moveTo>
              <a:cubicBezTo>
                <a:pt x="84992" y="1851269"/>
                <a:pt x="169985" y="1873738"/>
                <a:pt x="293077" y="1828800"/>
              </a:cubicBezTo>
              <a:cubicBezTo>
                <a:pt x="416169" y="1783862"/>
                <a:pt x="566616" y="1670539"/>
                <a:pt x="738554" y="1559170"/>
              </a:cubicBezTo>
              <a:cubicBezTo>
                <a:pt x="910493" y="1447801"/>
                <a:pt x="1144954" y="1287585"/>
                <a:pt x="1324708" y="1160585"/>
              </a:cubicBezTo>
              <a:cubicBezTo>
                <a:pt x="1504462" y="1033585"/>
                <a:pt x="1672493" y="918308"/>
                <a:pt x="1817077" y="797170"/>
              </a:cubicBezTo>
              <a:cubicBezTo>
                <a:pt x="1961661" y="676032"/>
                <a:pt x="2106246" y="543169"/>
                <a:pt x="2192215" y="433754"/>
              </a:cubicBezTo>
              <a:cubicBezTo>
                <a:pt x="2278184" y="324339"/>
                <a:pt x="2262554" y="209061"/>
                <a:pt x="2332892" y="140677"/>
              </a:cubicBezTo>
              <a:cubicBezTo>
                <a:pt x="2403230" y="72293"/>
                <a:pt x="2504831" y="46893"/>
                <a:pt x="2614246" y="23447"/>
              </a:cubicBezTo>
              <a:cubicBezTo>
                <a:pt x="2723661" y="1"/>
                <a:pt x="2856522" y="0"/>
                <a:pt x="2989384" y="0"/>
              </a:cubicBezTo>
            </a:path>
          </a:pathLst>
        </a:custGeom>
        <a:ln w="381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2</xdr:col>
      <xdr:colOff>246185</xdr:colOff>
      <xdr:row>45</xdr:row>
      <xdr:rowOff>82062</xdr:rowOff>
    </xdr:from>
    <xdr:ext cx="5675336" cy="405432"/>
    <xdr:sp macro="" textlink="">
      <xdr:nvSpPr>
        <xdr:cNvPr id="33" name="CaixaDeTexto 32">
          <a:extLst>
            <a:ext uri="{FF2B5EF4-FFF2-40B4-BE49-F238E27FC236}">
              <a16:creationId xmlns:a16="http://schemas.microsoft.com/office/drawing/2014/main" id="{4081AE24-237D-05D6-319A-94A95709CB74}"/>
            </a:ext>
          </a:extLst>
        </xdr:cNvPr>
        <xdr:cNvSpPr txBox="1"/>
      </xdr:nvSpPr>
      <xdr:spPr>
        <a:xfrm>
          <a:off x="1465385" y="8522677"/>
          <a:ext cx="5675336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2000" b="0">
              <a:solidFill>
                <a:srgbClr val="00B0F0"/>
              </a:solidFill>
            </a:rPr>
            <a:t>TENDENCIA</a:t>
          </a:r>
          <a:r>
            <a:rPr lang="pt-BR" sz="2000" b="0" baseline="0">
              <a:solidFill>
                <a:srgbClr val="00B0F0"/>
              </a:solidFill>
            </a:rPr>
            <a:t> A MANTER ESSA LINHA DE DESCRED. </a:t>
          </a:r>
          <a:r>
            <a:rPr lang="pt-BR" sz="2000" b="1">
              <a:solidFill>
                <a:srgbClr val="00B0F0"/>
              </a:solidFill>
            </a:rPr>
            <a:t>→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ade, Matheus De Oliveira" refreshedDate="45957.479334374999" createdVersion="8" refreshedVersion="8" minRefreshableVersion="3" recordCount="230" xr:uid="{1C2F9D47-C852-4BF9-956E-8AE0C987AE40}">
  <cacheSource type="worksheet">
    <worksheetSource name="Tabela1"/>
  </cacheSource>
  <cacheFields count="11">
    <cacheField name="DNs STAND BY" numFmtId="0">
      <sharedItems containsString="0" containsBlank="1" containsNumber="1" containsInteger="1" minValue="60377" maxValue="66740"/>
    </cacheField>
    <cacheField name="N° DN" numFmtId="0">
      <sharedItems containsString="0" containsBlank="1" containsNumber="1" containsInteger="1" minValue="60047" maxValue="67780"/>
    </cacheField>
    <cacheField name="DATA DO DESCREDENCIAMENTO" numFmtId="14">
      <sharedItems containsSemiMixedTypes="0" containsNonDate="0" containsDate="1" containsString="0" minDate="2025-03-05T00:00:00" maxDate="2025-10-24T00:00:00" count="61">
        <d v="2025-03-05T00:00:00"/>
        <d v="2025-03-10T00:00:00"/>
        <d v="2025-03-13T00:00:00"/>
        <d v="2025-03-18T00:00:00"/>
        <d v="2025-03-20T00:00:00"/>
        <d v="2025-03-21T00:00:00"/>
        <d v="2025-03-25T00:00:00"/>
        <d v="2025-04-01T00:00:00"/>
        <d v="2025-04-04T00:00:00"/>
        <d v="2025-04-08T00:00:00"/>
        <d v="2025-04-10T00:00:00"/>
        <d v="2025-04-22T00:00:00"/>
        <d v="2025-04-23T00:00:00"/>
        <d v="2025-04-29T00:00:00"/>
        <d v="2025-05-05T00:00:00"/>
        <d v="2025-05-09T00:00:00"/>
        <d v="2025-05-20T00:00:00"/>
        <d v="2025-05-22T00:00:00"/>
        <d v="2025-05-23T00:00:00"/>
        <d v="2025-05-26T00:00:00"/>
        <d v="2025-05-27T00:00:00"/>
        <d v="2025-06-02T00:00:00"/>
        <d v="2025-06-05T00:00:00"/>
        <d v="2025-06-06T00:00:00"/>
        <d v="2025-06-11T00:00:00"/>
        <d v="2025-06-12T00:00:00"/>
        <d v="2025-06-17T00:00:00"/>
        <d v="2025-06-24T00:00:00"/>
        <d v="2025-07-03T00:00:00"/>
        <d v="2025-07-04T00:00:00"/>
        <d v="2025-07-08T00:00:00"/>
        <d v="2025-07-10T00:00:00"/>
        <d v="2025-07-16T00:00:00"/>
        <d v="2025-07-21T00:00:00"/>
        <d v="2025-07-23T00:00:00"/>
        <d v="2025-07-29T00:00:00"/>
        <d v="2025-08-01T00:00:00"/>
        <d v="2025-08-04T00:00:00"/>
        <d v="2025-08-05T00:00:00"/>
        <d v="2025-08-06T00:00:00"/>
        <d v="2025-08-13T00:00:00"/>
        <d v="2025-08-14T00:00:00"/>
        <d v="2025-08-15T00:00:00"/>
        <d v="2025-08-18T00:00:00"/>
        <d v="2025-08-21T00:00:00"/>
        <d v="2025-08-26T00:00:00"/>
        <d v="2025-08-27T00:00:00"/>
        <d v="2025-08-29T00:00:00"/>
        <d v="2025-09-01T00:00:00"/>
        <d v="2025-09-02T00:00:00"/>
        <d v="2025-09-04T00:00:00"/>
        <d v="2025-09-08T00:00:00"/>
        <d v="2025-09-10T00:00:00"/>
        <d v="2025-09-12T00:00:00"/>
        <d v="2025-09-15T00:00:00"/>
        <d v="2025-10-01T00:00:00"/>
        <d v="2025-09-18T00:00:00"/>
        <d v="2025-10-17T00:00:00"/>
        <d v="2025-10-22T00:00:00"/>
        <d v="2025-10-23T00:00:00"/>
        <d v="2025-10-14T00:00:00"/>
      </sharedItems>
      <fieldGroup par="9"/>
    </cacheField>
    <cacheField name="REGIONAIS" numFmtId="0">
      <sharedItems count="6">
        <s v="REGIONAL 5"/>
        <s v="REGIONAL 2"/>
        <s v="REGIONAL 6"/>
        <s v="REGIONAL 1"/>
        <s v="REGIONAL 4"/>
        <s v="REGIONAL 3"/>
      </sharedItems>
    </cacheField>
    <cacheField name="DIVISAO" numFmtId="0">
      <sharedItems count="2">
        <s v="DIVISÃO 2"/>
        <s v="DIVISÃO 1"/>
      </sharedItems>
    </cacheField>
    <cacheField name="TIPO DE LOJA" numFmtId="0">
      <sharedItems count="2">
        <s v="LOJISTA"/>
        <s v="CONCESSIONÁRIA"/>
      </sharedItems>
    </cacheField>
    <cacheField name="FILIAL" numFmtId="0">
      <sharedItems/>
    </cacheField>
    <cacheField name="MOTIVOS PARA DESCREDENCIAMENTO" numFmtId="0">
      <sharedItems containsBlank="1" count="69">
        <s v="Serasa alto, perdeu potencial de mercado "/>
        <s v="falta de produção / reciprocidade por parte da loja."/>
        <s v="Fraude Comprovada"/>
        <s v="Atividades encerradas "/>
        <s v="Restrições relevantes"/>
        <s v="sem produção, estoque da loja não nos oferece oportunidades"/>
        <s v="sem produção"/>
        <s v="Não informado"/>
        <s v="comportamento atípico e veiculos sendo enviados não condizem com perfil da loja."/>
        <s v="Atuando fora das politicas VWFS"/>
        <s v="Sem produção "/>
        <s v="falta de interesse"/>
        <s v="Fora da politica "/>
        <s v="suspeita de má conduta não condizentes com política Carbank"/>
        <s v="vendido para outro grupo"/>
        <s v="sem retorno"/>
        <s v="Grupo vendido"/>
        <s v="PROBLEMA JUDICIAL"/>
        <s v="Suspeita de Fraude"/>
        <s v="sociedade da empresa foi desfeita e não possuem agente certificado"/>
        <s v="fora do perfil do CarBank"/>
        <s v="cadastramento outra dn do grupo "/>
        <s v="DN não atua mais no ramo de veículos"/>
        <s v="Lista Restritivas - para reativação consulta Gerente Regional. "/>
        <s v="classificação e potencial não condiz com carteira"/>
        <s v="Fora da política do banco "/>
        <s v="conduta fora do padrão"/>
        <s v="PASSOU O PONTO "/>
        <s v="Sem intersse "/>
        <s v="Descredenciamento solicitado pelo DN "/>
        <s v="Restrição elvada "/>
        <s v="Bloqueio "/>
        <s v="Falta de produtividade"/>
        <s v="Devido nossa posição de operações e cobranças"/>
        <s v="CNPJ inativado"/>
        <s v="Suspeita de conivência com documentação fraudada"/>
        <s v="não cumprimento das regras estabelecidas pelo banco"/>
        <s v="Cnpj Baixado"/>
        <s v="por falta de produção e parceria."/>
        <s v="cedido atendimento do DN para a Marcas"/>
        <s v="DN fechou e foi para sala comercial , fora da nossa politica de trabalho."/>
        <s v="Dn abriu novo Cnpj não utilizando mais o atual cadastrado conosco"/>
        <s v="DN com problemas financeiros , com informações negativas no mercado , financiando veículos de particulares e não repassando o valor"/>
        <s v="Dn não mostra interesse em trabalhar com o Banco"/>
        <s v="Evitar Inadimplência"/>
        <s v="ele comercializa somente motos e no momento o banco não está atuando neste segmento"/>
        <s v="Loja fechada"/>
        <s v="DN atua com Motos"/>
        <s v="os mesmo não se enquadram mais nas nossas políticas"/>
        <s v="cnpj foi desativado"/>
        <s v="fechamento de ponto de venda e incapacidade financeira"/>
        <m/>
        <s v="DN não apresentou evolução em produção e potencial"/>
        <s v="Loja encerrou suas atividades dentro do autoshopping Center Car"/>
        <s v="LOJA FECHOU "/>
        <s v="falta de produtividade e restrição de 1.6M"/>
        <s v="loja foi fechada e o CNPJ baixado"/>
        <s v="carros antigos - 1 ano sem produção"/>
        <s v="sem simulação - 1 ano sem produção"/>
        <s v="Loja fechou"/>
        <s v="DN NÃO TRABALHA COM CARBANK"/>
        <s v="dificuldades financeiras"/>
        <s v="Sem interesse de produção " u="1"/>
        <s v="falta de produção" u="1"/>
        <s v="Esses códigos não estão mais sendo utilizados pelo grupo, porém geram pendência nos treinamentos regulatórios " u="1"/>
        <s v="encerramento das atividades" u="1"/>
        <s v="Loja encerrando as atividades" u="1"/>
        <s v="Encerrou atividades " u="1"/>
        <s v="Loja encerrou suas atividades" u="1"/>
      </sharedItems>
    </cacheField>
    <cacheField name="Dias (DATA DO DESCREDENCIAMENTO)" numFmtId="0" databaseField="0">
      <fieldGroup base="2">
        <rangePr groupBy="days" startDate="2025-03-05T00:00:00" endDate="2025-10-24T00:00:00"/>
        <groupItems count="368">
          <s v="&lt;05/03/2025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24/10/2025"/>
        </groupItems>
      </fieldGroup>
    </cacheField>
    <cacheField name="Meses (DATA DO DESCREDENCIAMENTO)" numFmtId="0" databaseField="0">
      <fieldGroup base="2">
        <rangePr groupBy="months" startDate="2025-03-05T00:00:00" endDate="2025-10-24T00:00:00"/>
        <groupItems count="14">
          <s v="&lt;05/03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4/10/2025"/>
        </groupItems>
      </fieldGroup>
    </cacheField>
    <cacheField name="MARGEM %" numFmtId="0" formula="'DNs STAND BY'/ 1000" databaseField="0"/>
  </cacheFields>
  <extLst>
    <ext xmlns:x14="http://schemas.microsoft.com/office/spreadsheetml/2009/9/main" uri="{725AE2AE-9491-48be-B2B4-4EB974FC3084}">
      <x14:pivotCacheDefinition pivotCacheId="203807029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0">
  <r>
    <m/>
    <n v="63689"/>
    <x v="0"/>
    <x v="0"/>
    <x v="0"/>
    <x v="0"/>
    <s v="FILIAL BELO HORIZONTE"/>
    <x v="0"/>
  </r>
  <r>
    <m/>
    <n v="62798"/>
    <x v="1"/>
    <x v="1"/>
    <x v="0"/>
    <x v="0"/>
    <s v="FILIAL PARANA INTERIOR"/>
    <x v="1"/>
  </r>
  <r>
    <m/>
    <n v="62800"/>
    <x v="1"/>
    <x v="1"/>
    <x v="0"/>
    <x v="0"/>
    <s v="FILIAL PARANA INTERIOR"/>
    <x v="1"/>
  </r>
  <r>
    <m/>
    <n v="61824"/>
    <x v="2"/>
    <x v="2"/>
    <x v="1"/>
    <x v="0"/>
    <s v="FILIAL DF/GO"/>
    <x v="2"/>
  </r>
  <r>
    <m/>
    <n v="62309"/>
    <x v="3"/>
    <x v="3"/>
    <x v="1"/>
    <x v="0"/>
    <s v="FILIAL GRANDE SP 1"/>
    <x v="3"/>
  </r>
  <r>
    <m/>
    <n v="63131"/>
    <x v="3"/>
    <x v="3"/>
    <x v="1"/>
    <x v="0"/>
    <s v="FILIAL GRANDE SP 1"/>
    <x v="4"/>
  </r>
  <r>
    <m/>
    <n v="63978"/>
    <x v="3"/>
    <x v="3"/>
    <x v="1"/>
    <x v="0"/>
    <s v="FILIAL GRANDE SP 1"/>
    <x v="4"/>
  </r>
  <r>
    <m/>
    <n v="62308"/>
    <x v="4"/>
    <x v="1"/>
    <x v="0"/>
    <x v="0"/>
    <s v="FILIAL SANTA CATARINA"/>
    <x v="3"/>
  </r>
  <r>
    <m/>
    <n v="62480"/>
    <x v="4"/>
    <x v="1"/>
    <x v="0"/>
    <x v="0"/>
    <s v="FILIAL SANTA CATARINA"/>
    <x v="5"/>
  </r>
  <r>
    <m/>
    <n v="62497"/>
    <x v="4"/>
    <x v="1"/>
    <x v="0"/>
    <x v="0"/>
    <s v="FILIAL SANTA CATARINA"/>
    <x v="5"/>
  </r>
  <r>
    <m/>
    <n v="62598"/>
    <x v="4"/>
    <x v="1"/>
    <x v="0"/>
    <x v="0"/>
    <s v="FILIAL SANTA CATARINA"/>
    <x v="3"/>
  </r>
  <r>
    <m/>
    <n v="62602"/>
    <x v="4"/>
    <x v="1"/>
    <x v="0"/>
    <x v="0"/>
    <s v="FILIAL SANTA CATARINA"/>
    <x v="6"/>
  </r>
  <r>
    <m/>
    <n v="62653"/>
    <x v="4"/>
    <x v="3"/>
    <x v="1"/>
    <x v="0"/>
    <s v="FILIAL GRANDE SP 2"/>
    <x v="7"/>
  </r>
  <r>
    <m/>
    <n v="63470"/>
    <x v="4"/>
    <x v="3"/>
    <x v="1"/>
    <x v="0"/>
    <s v="FILIAL SP INTERIOR 1"/>
    <x v="3"/>
  </r>
  <r>
    <m/>
    <n v="63500"/>
    <x v="5"/>
    <x v="2"/>
    <x v="1"/>
    <x v="0"/>
    <s v="FILIAL DF/GO"/>
    <x v="8"/>
  </r>
  <r>
    <m/>
    <n v="62463"/>
    <x v="5"/>
    <x v="1"/>
    <x v="0"/>
    <x v="0"/>
    <s v="FILIAL SANTA CATARINA"/>
    <x v="3"/>
  </r>
  <r>
    <m/>
    <n v="60931"/>
    <x v="5"/>
    <x v="3"/>
    <x v="1"/>
    <x v="0"/>
    <s v="FILIAL GRANDE SP 1"/>
    <x v="4"/>
  </r>
  <r>
    <m/>
    <n v="61441"/>
    <x v="5"/>
    <x v="2"/>
    <x v="1"/>
    <x v="0"/>
    <s v="FILIAL DF/GO"/>
    <x v="4"/>
  </r>
  <r>
    <m/>
    <n v="62067"/>
    <x v="5"/>
    <x v="3"/>
    <x v="1"/>
    <x v="0"/>
    <s v="FILIAL GRANDE SP 1"/>
    <x v="4"/>
  </r>
  <r>
    <m/>
    <n v="62117"/>
    <x v="5"/>
    <x v="3"/>
    <x v="1"/>
    <x v="0"/>
    <s v="FILIAL GRANDE SP 1"/>
    <x v="4"/>
  </r>
  <r>
    <m/>
    <n v="62321"/>
    <x v="5"/>
    <x v="1"/>
    <x v="0"/>
    <x v="0"/>
    <s v="FILIAL SANTA CATARINA"/>
    <x v="4"/>
  </r>
  <r>
    <m/>
    <n v="62574"/>
    <x v="5"/>
    <x v="3"/>
    <x v="1"/>
    <x v="0"/>
    <s v="FILIAL GRANDE SP 1"/>
    <x v="4"/>
  </r>
  <r>
    <m/>
    <n v="62748"/>
    <x v="5"/>
    <x v="3"/>
    <x v="1"/>
    <x v="0"/>
    <s v="FILIAL GRANDE SP 1"/>
    <x v="4"/>
  </r>
  <r>
    <m/>
    <n v="62783"/>
    <x v="5"/>
    <x v="3"/>
    <x v="1"/>
    <x v="0"/>
    <s v="FILIAL GRANDE SP 1"/>
    <x v="4"/>
  </r>
  <r>
    <m/>
    <n v="62986"/>
    <x v="5"/>
    <x v="3"/>
    <x v="1"/>
    <x v="0"/>
    <s v="FILIAL GRANDE SP 2"/>
    <x v="4"/>
  </r>
  <r>
    <m/>
    <n v="63835"/>
    <x v="5"/>
    <x v="4"/>
    <x v="1"/>
    <x v="0"/>
    <s v="FILIAL RECIFE"/>
    <x v="4"/>
  </r>
  <r>
    <m/>
    <n v="63902"/>
    <x v="5"/>
    <x v="3"/>
    <x v="1"/>
    <x v="0"/>
    <s v="FILIAL GRANDE SP 1"/>
    <x v="4"/>
  </r>
  <r>
    <m/>
    <n v="63991"/>
    <x v="5"/>
    <x v="4"/>
    <x v="1"/>
    <x v="0"/>
    <s v="FILIAL RECIFE"/>
    <x v="4"/>
  </r>
  <r>
    <m/>
    <n v="64618"/>
    <x v="5"/>
    <x v="3"/>
    <x v="1"/>
    <x v="0"/>
    <s v="FILIAL GRANDE SP 1"/>
    <x v="4"/>
  </r>
  <r>
    <m/>
    <n v="63883"/>
    <x v="6"/>
    <x v="2"/>
    <x v="1"/>
    <x v="0"/>
    <s v="FILIAL NORTE"/>
    <x v="3"/>
  </r>
  <r>
    <m/>
    <n v="60318"/>
    <x v="7"/>
    <x v="3"/>
    <x v="1"/>
    <x v="0"/>
    <s v="FILIAL SP INTERIOR 1"/>
    <x v="9"/>
  </r>
  <r>
    <m/>
    <n v="63582"/>
    <x v="8"/>
    <x v="1"/>
    <x v="0"/>
    <x v="0"/>
    <s v="FILIAL PARANA"/>
    <x v="10"/>
  </r>
  <r>
    <m/>
    <n v="63583"/>
    <x v="8"/>
    <x v="1"/>
    <x v="0"/>
    <x v="0"/>
    <s v="FILIAL PARANA"/>
    <x v="10"/>
  </r>
  <r>
    <m/>
    <n v="62001"/>
    <x v="8"/>
    <x v="3"/>
    <x v="1"/>
    <x v="0"/>
    <s v="FILIAL SP INTERIOR 1"/>
    <x v="11"/>
  </r>
  <r>
    <m/>
    <n v="64383"/>
    <x v="8"/>
    <x v="3"/>
    <x v="1"/>
    <x v="0"/>
    <s v="FILIAL SP INTERIOR 1"/>
    <x v="11"/>
  </r>
  <r>
    <m/>
    <n v="62084"/>
    <x v="8"/>
    <x v="3"/>
    <x v="1"/>
    <x v="0"/>
    <s v="FILIAL GRANDE SP 1"/>
    <x v="11"/>
  </r>
  <r>
    <m/>
    <n v="62132"/>
    <x v="8"/>
    <x v="5"/>
    <x v="0"/>
    <x v="0"/>
    <s v="FILIAL RIO DE JANEIRO"/>
    <x v="11"/>
  </r>
  <r>
    <m/>
    <n v="60908"/>
    <x v="9"/>
    <x v="2"/>
    <x v="1"/>
    <x v="0"/>
    <s v="FILIAL DF/GO"/>
    <x v="12"/>
  </r>
  <r>
    <m/>
    <n v="64497"/>
    <x v="10"/>
    <x v="2"/>
    <x v="1"/>
    <x v="0"/>
    <s v="FILIAL NORTE"/>
    <x v="11"/>
  </r>
  <r>
    <m/>
    <n v="64733"/>
    <x v="10"/>
    <x v="2"/>
    <x v="1"/>
    <x v="0"/>
    <s v="FILIAL NORTE"/>
    <x v="11"/>
  </r>
  <r>
    <m/>
    <n v="65246"/>
    <x v="10"/>
    <x v="2"/>
    <x v="1"/>
    <x v="0"/>
    <s v="FILIAL NORTE"/>
    <x v="11"/>
  </r>
  <r>
    <m/>
    <n v="62923"/>
    <x v="11"/>
    <x v="0"/>
    <x v="0"/>
    <x v="0"/>
    <s v="FILIAL BELO HORIZONTE"/>
    <x v="11"/>
  </r>
  <r>
    <m/>
    <n v="63858"/>
    <x v="11"/>
    <x v="4"/>
    <x v="1"/>
    <x v="0"/>
    <s v="FILIAL RECIFE"/>
    <x v="11"/>
  </r>
  <r>
    <m/>
    <n v="63439"/>
    <x v="12"/>
    <x v="1"/>
    <x v="0"/>
    <x v="0"/>
    <s v="FILIAL RIO GRANDE DO SUL"/>
    <x v="13"/>
  </r>
  <r>
    <m/>
    <n v="61353"/>
    <x v="13"/>
    <x v="1"/>
    <x v="0"/>
    <x v="0"/>
    <s v="FILIAL SANTA CATARINA"/>
    <x v="11"/>
  </r>
  <r>
    <m/>
    <n v="63557"/>
    <x v="13"/>
    <x v="1"/>
    <x v="0"/>
    <x v="0"/>
    <s v="FILIAL SANTA CATARINA"/>
    <x v="11"/>
  </r>
  <r>
    <m/>
    <n v="63601"/>
    <x v="14"/>
    <x v="1"/>
    <x v="0"/>
    <x v="0"/>
    <s v="FILIAL PARANA INTERIOR"/>
    <x v="11"/>
  </r>
  <r>
    <m/>
    <n v="62115"/>
    <x v="15"/>
    <x v="3"/>
    <x v="1"/>
    <x v="0"/>
    <s v="FILIAL SP INTERIOR 2"/>
    <x v="3"/>
  </r>
  <r>
    <m/>
    <n v="62203"/>
    <x v="15"/>
    <x v="3"/>
    <x v="1"/>
    <x v="0"/>
    <s v="FILIAL SP INTERIOR 1"/>
    <x v="3"/>
  </r>
  <r>
    <m/>
    <n v="63599"/>
    <x v="15"/>
    <x v="1"/>
    <x v="0"/>
    <x v="0"/>
    <s v="FILIAL PARANA"/>
    <x v="14"/>
  </r>
  <r>
    <m/>
    <n v="64125"/>
    <x v="15"/>
    <x v="4"/>
    <x v="1"/>
    <x v="0"/>
    <s v="FILIAL RECIFE"/>
    <x v="3"/>
  </r>
  <r>
    <m/>
    <n v="64128"/>
    <x v="15"/>
    <x v="4"/>
    <x v="1"/>
    <x v="1"/>
    <s v="FILIAL RECIFE"/>
    <x v="15"/>
  </r>
  <r>
    <m/>
    <n v="61497"/>
    <x v="16"/>
    <x v="1"/>
    <x v="0"/>
    <x v="0"/>
    <s v="FILIAL PARANA INTERIOR"/>
    <x v="3"/>
  </r>
  <r>
    <m/>
    <n v="64526"/>
    <x v="17"/>
    <x v="1"/>
    <x v="0"/>
    <x v="1"/>
    <s v="FILIAL SANTA CATARINA"/>
    <x v="16"/>
  </r>
  <r>
    <m/>
    <n v="60131"/>
    <x v="18"/>
    <x v="3"/>
    <x v="1"/>
    <x v="0"/>
    <s v="FILIAL SP INTERIOR 1"/>
    <x v="3"/>
  </r>
  <r>
    <m/>
    <n v="65418"/>
    <x v="19"/>
    <x v="3"/>
    <x v="1"/>
    <x v="0"/>
    <s v="FILIAL GRANDE SP 2"/>
    <x v="16"/>
  </r>
  <r>
    <m/>
    <n v="61358"/>
    <x v="19"/>
    <x v="2"/>
    <x v="1"/>
    <x v="0"/>
    <s v="FILIAL MS/MT"/>
    <x v="17"/>
  </r>
  <r>
    <m/>
    <n v="62837"/>
    <x v="19"/>
    <x v="2"/>
    <x v="1"/>
    <x v="0"/>
    <s v="FILIAL MS/MT"/>
    <x v="11"/>
  </r>
  <r>
    <m/>
    <n v="61664"/>
    <x v="20"/>
    <x v="1"/>
    <x v="0"/>
    <x v="0"/>
    <s v="FILIAL SANTA CATARINA"/>
    <x v="11"/>
  </r>
  <r>
    <m/>
    <n v="63065"/>
    <x v="21"/>
    <x v="0"/>
    <x v="0"/>
    <x v="0"/>
    <s v="FILIAL BELO HORIZONTE"/>
    <x v="11"/>
  </r>
  <r>
    <m/>
    <n v="63663"/>
    <x v="21"/>
    <x v="3"/>
    <x v="1"/>
    <x v="0"/>
    <s v="FILIAL GRANDE SP 1"/>
    <x v="11"/>
  </r>
  <r>
    <m/>
    <n v="61048"/>
    <x v="22"/>
    <x v="1"/>
    <x v="0"/>
    <x v="0"/>
    <s v="FILIAL PARANA INTERIOR"/>
    <x v="18"/>
  </r>
  <r>
    <m/>
    <n v="63513"/>
    <x v="23"/>
    <x v="3"/>
    <x v="1"/>
    <x v="0"/>
    <s v="FILIAL GRANDE SP 2"/>
    <x v="3"/>
  </r>
  <r>
    <m/>
    <n v="65477"/>
    <x v="24"/>
    <x v="5"/>
    <x v="0"/>
    <x v="1"/>
    <s v="FILIAL SP (CONCESSIONARIAS) CAPITAL"/>
    <x v="11"/>
  </r>
  <r>
    <m/>
    <n v="65453"/>
    <x v="25"/>
    <x v="1"/>
    <x v="0"/>
    <x v="0"/>
    <s v="FILIAL PARANA INTERIOR"/>
    <x v="19"/>
  </r>
  <r>
    <m/>
    <n v="60525"/>
    <x v="26"/>
    <x v="3"/>
    <x v="1"/>
    <x v="0"/>
    <s v="FILIAL GRANDE SP 1"/>
    <x v="11"/>
  </r>
  <r>
    <m/>
    <n v="60720"/>
    <x v="27"/>
    <x v="3"/>
    <x v="1"/>
    <x v="0"/>
    <s v="FILIAL GRANDE SP 2"/>
    <x v="3"/>
  </r>
  <r>
    <m/>
    <n v="60895"/>
    <x v="27"/>
    <x v="5"/>
    <x v="0"/>
    <x v="0"/>
    <s v="FILIAL RIO DE JANEIRO"/>
    <x v="3"/>
  </r>
  <r>
    <m/>
    <n v="63686"/>
    <x v="28"/>
    <x v="2"/>
    <x v="1"/>
    <x v="0"/>
    <s v="FILIAL MS/MT"/>
    <x v="3"/>
  </r>
  <r>
    <m/>
    <n v="60670"/>
    <x v="28"/>
    <x v="3"/>
    <x v="1"/>
    <x v="0"/>
    <s v="FILIAL GRANDE SP 2"/>
    <x v="19"/>
  </r>
  <r>
    <m/>
    <n v="60104"/>
    <x v="29"/>
    <x v="3"/>
    <x v="1"/>
    <x v="0"/>
    <s v="FILIAL SP INTERIOR 1"/>
    <x v="20"/>
  </r>
  <r>
    <m/>
    <n v="62182"/>
    <x v="29"/>
    <x v="5"/>
    <x v="0"/>
    <x v="0"/>
    <s v="FILIAL SP (CONCESSIONARIAS) INTERIOR"/>
    <x v="20"/>
  </r>
  <r>
    <m/>
    <n v="62242"/>
    <x v="29"/>
    <x v="3"/>
    <x v="1"/>
    <x v="0"/>
    <s v="FILIAL SP INTERIOR 1"/>
    <x v="20"/>
  </r>
  <r>
    <m/>
    <n v="63464"/>
    <x v="29"/>
    <x v="3"/>
    <x v="1"/>
    <x v="0"/>
    <s v="FILIAL GRANDE SP 2"/>
    <x v="3"/>
  </r>
  <r>
    <m/>
    <n v="65025"/>
    <x v="30"/>
    <x v="4"/>
    <x v="1"/>
    <x v="0"/>
    <s v="FILIAL RECIFE"/>
    <x v="11"/>
  </r>
  <r>
    <m/>
    <n v="64807"/>
    <x v="30"/>
    <x v="4"/>
    <x v="1"/>
    <x v="0"/>
    <s v="FILIAL RECIFE"/>
    <x v="11"/>
  </r>
  <r>
    <m/>
    <n v="63553"/>
    <x v="30"/>
    <x v="3"/>
    <x v="1"/>
    <x v="0"/>
    <s v="FILIAL GRANDE SP 2"/>
    <x v="3"/>
  </r>
  <r>
    <m/>
    <n v="62563"/>
    <x v="30"/>
    <x v="5"/>
    <x v="0"/>
    <x v="0"/>
    <s v="FILIAL RIO DE JANEIRO"/>
    <x v="11"/>
  </r>
  <r>
    <m/>
    <n v="61335"/>
    <x v="30"/>
    <x v="1"/>
    <x v="0"/>
    <x v="1"/>
    <s v="FILIAL PARANA"/>
    <x v="11"/>
  </r>
  <r>
    <m/>
    <n v="60148"/>
    <x v="31"/>
    <x v="3"/>
    <x v="1"/>
    <x v="0"/>
    <s v="FILIAL GRANDE SP 2"/>
    <x v="11"/>
  </r>
  <r>
    <m/>
    <n v="64122"/>
    <x v="31"/>
    <x v="2"/>
    <x v="1"/>
    <x v="0"/>
    <s v="FILIAL DF/GO"/>
    <x v="11"/>
  </r>
  <r>
    <m/>
    <n v="66621"/>
    <x v="32"/>
    <x v="5"/>
    <x v="0"/>
    <x v="0"/>
    <s v="FILIAL RIO DE JANEIRO"/>
    <x v="3"/>
  </r>
  <r>
    <m/>
    <n v="63850"/>
    <x v="32"/>
    <x v="2"/>
    <x v="1"/>
    <x v="0"/>
    <s v="FILIAL NORTE"/>
    <x v="21"/>
  </r>
  <r>
    <m/>
    <n v="65298"/>
    <x v="32"/>
    <x v="2"/>
    <x v="1"/>
    <x v="0"/>
    <s v="FILIAL NORTE"/>
    <x v="22"/>
  </r>
  <r>
    <m/>
    <n v="67362"/>
    <x v="33"/>
    <x v="2"/>
    <x v="1"/>
    <x v="0"/>
    <s v="FILIAL MS/MT"/>
    <x v="23"/>
  </r>
  <r>
    <m/>
    <n v="61701"/>
    <x v="34"/>
    <x v="2"/>
    <x v="1"/>
    <x v="0"/>
    <s v="FILIAL DF/GO"/>
    <x v="24"/>
  </r>
  <r>
    <m/>
    <n v="62246"/>
    <x v="34"/>
    <x v="5"/>
    <x v="0"/>
    <x v="0"/>
    <s v="FILIAL RIO DE JANEIRO"/>
    <x v="11"/>
  </r>
  <r>
    <m/>
    <n v="64866"/>
    <x v="34"/>
    <x v="1"/>
    <x v="0"/>
    <x v="0"/>
    <s v="FILIAL SANTA CATARINA"/>
    <x v="11"/>
  </r>
  <r>
    <m/>
    <n v="63888"/>
    <x v="34"/>
    <x v="1"/>
    <x v="0"/>
    <x v="0"/>
    <s v="FILIAL PARANA"/>
    <x v="11"/>
  </r>
  <r>
    <m/>
    <n v="64035"/>
    <x v="35"/>
    <x v="0"/>
    <x v="0"/>
    <x v="0"/>
    <s v="FILIAL BELO HORIZONTE"/>
    <x v="25"/>
  </r>
  <r>
    <m/>
    <n v="61503"/>
    <x v="36"/>
    <x v="1"/>
    <x v="0"/>
    <x v="0"/>
    <s v="FILIAL SANTA CATARINA"/>
    <x v="11"/>
  </r>
  <r>
    <m/>
    <n v="62920"/>
    <x v="37"/>
    <x v="1"/>
    <x v="0"/>
    <x v="0"/>
    <s v="FILIAL PARANA"/>
    <x v="11"/>
  </r>
  <r>
    <m/>
    <n v="60616"/>
    <x v="38"/>
    <x v="3"/>
    <x v="1"/>
    <x v="0"/>
    <s v="FILIAL GRANDE SP 2"/>
    <x v="3"/>
  </r>
  <r>
    <m/>
    <n v="63207"/>
    <x v="38"/>
    <x v="3"/>
    <x v="1"/>
    <x v="0"/>
    <s v="FILIAL GRANDE SP 2"/>
    <x v="3"/>
  </r>
  <r>
    <m/>
    <n v="65374"/>
    <x v="38"/>
    <x v="3"/>
    <x v="1"/>
    <x v="0"/>
    <s v="FILIAL GRANDE SP 2"/>
    <x v="25"/>
  </r>
  <r>
    <m/>
    <n v="61383"/>
    <x v="39"/>
    <x v="1"/>
    <x v="0"/>
    <x v="0"/>
    <s v="FILIAL PARANA"/>
    <x v="26"/>
  </r>
  <r>
    <m/>
    <n v="63024"/>
    <x v="39"/>
    <x v="3"/>
    <x v="1"/>
    <x v="0"/>
    <s v="FILIAL SP INTERIOR 2"/>
    <x v="27"/>
  </r>
  <r>
    <m/>
    <n v="65139"/>
    <x v="39"/>
    <x v="2"/>
    <x v="1"/>
    <x v="0"/>
    <s v="FILIAL DF/GO"/>
    <x v="28"/>
  </r>
  <r>
    <m/>
    <n v="66967"/>
    <x v="39"/>
    <x v="1"/>
    <x v="0"/>
    <x v="0"/>
    <s v="FILIAL PARANA"/>
    <x v="3"/>
  </r>
  <r>
    <m/>
    <n v="61274"/>
    <x v="39"/>
    <x v="1"/>
    <x v="0"/>
    <x v="0"/>
    <s v="FILIAL SANTA CATARINA"/>
    <x v="3"/>
  </r>
  <r>
    <m/>
    <n v="65619"/>
    <x v="40"/>
    <x v="2"/>
    <x v="1"/>
    <x v="0"/>
    <s v="FILIAL NORTE"/>
    <x v="29"/>
  </r>
  <r>
    <m/>
    <n v="60978"/>
    <x v="40"/>
    <x v="3"/>
    <x v="1"/>
    <x v="0"/>
    <s v="FILIAL GRANDE SP 2"/>
    <x v="28"/>
  </r>
  <r>
    <m/>
    <n v="64596"/>
    <x v="40"/>
    <x v="3"/>
    <x v="1"/>
    <x v="0"/>
    <s v="FILIAL GRANDE SP 2"/>
    <x v="30"/>
  </r>
  <r>
    <m/>
    <n v="62323"/>
    <x v="40"/>
    <x v="3"/>
    <x v="1"/>
    <x v="0"/>
    <s v="FILIAL GRANDE SP 2"/>
    <x v="3"/>
  </r>
  <r>
    <m/>
    <n v="66325"/>
    <x v="40"/>
    <x v="3"/>
    <x v="1"/>
    <x v="0"/>
    <s v="FILIAL GRANDE SP 2"/>
    <x v="3"/>
  </r>
  <r>
    <m/>
    <n v="62899"/>
    <x v="40"/>
    <x v="0"/>
    <x v="0"/>
    <x v="0"/>
    <s v="FILIAL BELO HORIZONTE"/>
    <x v="3"/>
  </r>
  <r>
    <m/>
    <n v="63424"/>
    <x v="40"/>
    <x v="0"/>
    <x v="0"/>
    <x v="0"/>
    <s v="FILIAL BELO HORIZONTE"/>
    <x v="3"/>
  </r>
  <r>
    <m/>
    <n v="64634"/>
    <x v="40"/>
    <x v="0"/>
    <x v="0"/>
    <x v="0"/>
    <s v="FILIAL BELO HORIZONTE"/>
    <x v="3"/>
  </r>
  <r>
    <m/>
    <n v="65886"/>
    <x v="41"/>
    <x v="5"/>
    <x v="0"/>
    <x v="0"/>
    <s v="FILIAL RIO DE JANEIRO"/>
    <x v="3"/>
  </r>
  <r>
    <m/>
    <n v="62607"/>
    <x v="42"/>
    <x v="5"/>
    <x v="0"/>
    <x v="0"/>
    <s v="FILIAL RIO DE JANEIRO"/>
    <x v="3"/>
  </r>
  <r>
    <m/>
    <n v="64151"/>
    <x v="43"/>
    <x v="1"/>
    <x v="0"/>
    <x v="0"/>
    <s v="FILIAL RIO GRANDE DO SUL"/>
    <x v="31"/>
  </r>
  <r>
    <m/>
    <n v="61372"/>
    <x v="44"/>
    <x v="1"/>
    <x v="0"/>
    <x v="0"/>
    <s v="FILIAL RIO GRANDE DO SUL"/>
    <x v="3"/>
  </r>
  <r>
    <m/>
    <n v="65879"/>
    <x v="44"/>
    <x v="5"/>
    <x v="0"/>
    <x v="0"/>
    <s v="FILIAL RIO DE JANEIRO"/>
    <x v="32"/>
  </r>
  <r>
    <m/>
    <n v="60588"/>
    <x v="44"/>
    <x v="5"/>
    <x v="0"/>
    <x v="1"/>
    <s v="FILIAL SP (CONCESSIONARIAS) CAPITAL"/>
    <x v="33"/>
  </r>
  <r>
    <m/>
    <n v="60096"/>
    <x v="44"/>
    <x v="3"/>
    <x v="1"/>
    <x v="0"/>
    <s v="FILIAL SP INTERIOR 1"/>
    <x v="3"/>
  </r>
  <r>
    <m/>
    <n v="60179"/>
    <x v="44"/>
    <x v="3"/>
    <x v="1"/>
    <x v="0"/>
    <s v="FILIAL SP INTERIOR 1"/>
    <x v="3"/>
  </r>
  <r>
    <m/>
    <n v="60554"/>
    <x v="44"/>
    <x v="5"/>
    <x v="0"/>
    <x v="0"/>
    <s v="FILIAL SP (CONCESSIONARIAS) INTERIOR"/>
    <x v="3"/>
  </r>
  <r>
    <m/>
    <n v="60753"/>
    <x v="44"/>
    <x v="5"/>
    <x v="0"/>
    <x v="0"/>
    <s v="FILIAL SP (CONCESSIONARIAS) INTERIOR"/>
    <x v="3"/>
  </r>
  <r>
    <m/>
    <n v="62100"/>
    <x v="44"/>
    <x v="5"/>
    <x v="0"/>
    <x v="0"/>
    <s v="FILIAL SP (CONCESSIONARIAS) INTERIOR"/>
    <x v="3"/>
  </r>
  <r>
    <m/>
    <n v="63251"/>
    <x v="44"/>
    <x v="5"/>
    <x v="0"/>
    <x v="0"/>
    <s v="FILIAL SP (CONCESSIONARIAS) INTERIOR"/>
    <x v="3"/>
  </r>
  <r>
    <m/>
    <n v="62682"/>
    <x v="45"/>
    <x v="5"/>
    <x v="0"/>
    <x v="1"/>
    <s v="FILIAL SP (CONCESSIONARIAS) CAPITAL"/>
    <x v="3"/>
  </r>
  <r>
    <m/>
    <n v="65334"/>
    <x v="45"/>
    <x v="5"/>
    <x v="0"/>
    <x v="1"/>
    <s v="FILIAL SP (CONCESSIONARIAS) CAPITAL"/>
    <x v="32"/>
  </r>
  <r>
    <m/>
    <n v="65407"/>
    <x v="45"/>
    <x v="2"/>
    <x v="1"/>
    <x v="0"/>
    <s v="FILIAL NORTE"/>
    <x v="32"/>
  </r>
  <r>
    <m/>
    <n v="65135"/>
    <x v="45"/>
    <x v="1"/>
    <x v="0"/>
    <x v="0"/>
    <s v="FILIAL PARANA INTERIOR"/>
    <x v="34"/>
  </r>
  <r>
    <m/>
    <n v="61333"/>
    <x v="45"/>
    <x v="3"/>
    <x v="1"/>
    <x v="0"/>
    <s v="FILIAL GRANDE SP 2"/>
    <x v="3"/>
  </r>
  <r>
    <m/>
    <n v="67536"/>
    <x v="45"/>
    <x v="3"/>
    <x v="1"/>
    <x v="0"/>
    <s v="FILIAL SP INTERIOR 2"/>
    <x v="35"/>
  </r>
  <r>
    <m/>
    <n v="66575"/>
    <x v="45"/>
    <x v="2"/>
    <x v="1"/>
    <x v="0"/>
    <s v="FILIAL NORTE"/>
    <x v="11"/>
  </r>
  <r>
    <m/>
    <n v="63111"/>
    <x v="45"/>
    <x v="5"/>
    <x v="0"/>
    <x v="0"/>
    <s v="FILIAL RIO DE JANEIRO"/>
    <x v="11"/>
  </r>
  <r>
    <m/>
    <n v="66579"/>
    <x v="45"/>
    <x v="5"/>
    <x v="0"/>
    <x v="0"/>
    <s v="FILIAL RIO DE JANEIRO"/>
    <x v="3"/>
  </r>
  <r>
    <m/>
    <n v="66814"/>
    <x v="45"/>
    <x v="2"/>
    <x v="1"/>
    <x v="0"/>
    <s v="FILIAL DF/GO"/>
    <x v="3"/>
  </r>
  <r>
    <m/>
    <n v="66977"/>
    <x v="45"/>
    <x v="2"/>
    <x v="1"/>
    <x v="0"/>
    <s v="FILIAL DF/GO"/>
    <x v="36"/>
  </r>
  <r>
    <m/>
    <n v="63381"/>
    <x v="45"/>
    <x v="2"/>
    <x v="1"/>
    <x v="0"/>
    <s v="FILIAL DF/GO"/>
    <x v="11"/>
  </r>
  <r>
    <m/>
    <n v="64301"/>
    <x v="45"/>
    <x v="2"/>
    <x v="1"/>
    <x v="1"/>
    <s v="FILIAL DF/GO"/>
    <x v="3"/>
  </r>
  <r>
    <m/>
    <n v="67755"/>
    <x v="46"/>
    <x v="5"/>
    <x v="0"/>
    <x v="1"/>
    <s v="FILIAL SP (CONCESSIONARIAS) INTERIOR"/>
    <x v="37"/>
  </r>
  <r>
    <m/>
    <n v="61472"/>
    <x v="47"/>
    <x v="1"/>
    <x v="0"/>
    <x v="0"/>
    <s v="FILIAL SANTA CATARINA"/>
    <x v="11"/>
  </r>
  <r>
    <m/>
    <n v="63988"/>
    <x v="47"/>
    <x v="1"/>
    <x v="0"/>
    <x v="0"/>
    <s v="FILIAL PARANA"/>
    <x v="38"/>
  </r>
  <r>
    <m/>
    <n v="61573"/>
    <x v="47"/>
    <x v="3"/>
    <x v="1"/>
    <x v="0"/>
    <s v="FILIAL GRANDE SP 1"/>
    <x v="3"/>
  </r>
  <r>
    <m/>
    <n v="67780"/>
    <x v="47"/>
    <x v="2"/>
    <x v="1"/>
    <x v="1"/>
    <s v="FILIAL MS/MT"/>
    <x v="39"/>
  </r>
  <r>
    <m/>
    <n v="60047"/>
    <x v="48"/>
    <x v="3"/>
    <x v="1"/>
    <x v="0"/>
    <s v="FILIAL SP INTERIOR 2"/>
    <x v="40"/>
  </r>
  <r>
    <m/>
    <n v="60212"/>
    <x v="48"/>
    <x v="3"/>
    <x v="1"/>
    <x v="0"/>
    <s v="FILIAL GRANDE SP 2"/>
    <x v="3"/>
  </r>
  <r>
    <m/>
    <n v="60246"/>
    <x v="48"/>
    <x v="3"/>
    <x v="1"/>
    <x v="0"/>
    <s v="FILIAL SP INTERIOR 2"/>
    <x v="41"/>
  </r>
  <r>
    <m/>
    <n v="60375"/>
    <x v="48"/>
    <x v="3"/>
    <x v="1"/>
    <x v="0"/>
    <s v="FILIAL SP INTERIOR 2"/>
    <x v="3"/>
  </r>
  <r>
    <m/>
    <n v="60397"/>
    <x v="48"/>
    <x v="3"/>
    <x v="1"/>
    <x v="0"/>
    <s v="FILIAL SP INTERIOR 2"/>
    <x v="3"/>
  </r>
  <r>
    <m/>
    <n v="60522"/>
    <x v="48"/>
    <x v="3"/>
    <x v="1"/>
    <x v="0"/>
    <s v="FILIAL GRANDE SP 2"/>
    <x v="3"/>
  </r>
  <r>
    <m/>
    <n v="61986"/>
    <x v="48"/>
    <x v="3"/>
    <x v="1"/>
    <x v="0"/>
    <s v="FILIAL SP INTERIOR 2"/>
    <x v="42"/>
  </r>
  <r>
    <m/>
    <n v="62190"/>
    <x v="48"/>
    <x v="3"/>
    <x v="1"/>
    <x v="0"/>
    <s v="FILIAL SP INTERIOR 2"/>
    <x v="3"/>
  </r>
  <r>
    <m/>
    <n v="62646"/>
    <x v="48"/>
    <x v="3"/>
    <x v="1"/>
    <x v="0"/>
    <s v="FILIAL SP INTERIOR 2"/>
    <x v="43"/>
  </r>
  <r>
    <m/>
    <n v="63870"/>
    <x v="48"/>
    <x v="1"/>
    <x v="0"/>
    <x v="0"/>
    <s v="FILIAL SANTA CATARINA"/>
    <x v="3"/>
  </r>
  <r>
    <m/>
    <n v="64296"/>
    <x v="48"/>
    <x v="3"/>
    <x v="1"/>
    <x v="0"/>
    <s v="FILIAL SP INTERIOR 1"/>
    <x v="3"/>
  </r>
  <r>
    <m/>
    <n v="66870"/>
    <x v="48"/>
    <x v="3"/>
    <x v="1"/>
    <x v="0"/>
    <s v="FILIAL SP INTERIOR 2"/>
    <x v="32"/>
  </r>
  <r>
    <m/>
    <n v="64282"/>
    <x v="48"/>
    <x v="3"/>
    <x v="1"/>
    <x v="0"/>
    <s v="FILIAL SP INTERIOR 2"/>
    <x v="32"/>
  </r>
  <r>
    <m/>
    <n v="64286"/>
    <x v="48"/>
    <x v="3"/>
    <x v="1"/>
    <x v="0"/>
    <s v="FILIAL SP INTERIOR 2"/>
    <x v="3"/>
  </r>
  <r>
    <m/>
    <n v="64776"/>
    <x v="48"/>
    <x v="3"/>
    <x v="1"/>
    <x v="0"/>
    <s v="FILIAL SP INTERIOR 2"/>
    <x v="3"/>
  </r>
  <r>
    <m/>
    <n v="63491"/>
    <x v="48"/>
    <x v="5"/>
    <x v="0"/>
    <x v="0"/>
    <s v="FILIAL RIO DE JANEIRO"/>
    <x v="32"/>
  </r>
  <r>
    <m/>
    <n v="61314"/>
    <x v="48"/>
    <x v="2"/>
    <x v="1"/>
    <x v="0"/>
    <s v="FILIAL DF/GO"/>
    <x v="44"/>
  </r>
  <r>
    <m/>
    <n v="65933"/>
    <x v="48"/>
    <x v="2"/>
    <x v="1"/>
    <x v="0"/>
    <s v="FILIAL DF/GO"/>
    <x v="32"/>
  </r>
  <r>
    <m/>
    <n v="65553"/>
    <x v="49"/>
    <x v="1"/>
    <x v="0"/>
    <x v="0"/>
    <s v="FILIAL PARANA INTERIOR"/>
    <x v="45"/>
  </r>
  <r>
    <m/>
    <n v="65747"/>
    <x v="49"/>
    <x v="5"/>
    <x v="0"/>
    <x v="0"/>
    <s v="FILIAL RIO DE JANEIRO"/>
    <x v="46"/>
  </r>
  <r>
    <m/>
    <n v="66085"/>
    <x v="49"/>
    <x v="5"/>
    <x v="0"/>
    <x v="0"/>
    <s v="FILIAL RIO DE JANEIRO"/>
    <x v="46"/>
  </r>
  <r>
    <m/>
    <n v="66062"/>
    <x v="49"/>
    <x v="5"/>
    <x v="0"/>
    <x v="0"/>
    <s v="FILIAL RIO DE JANEIRO"/>
    <x v="32"/>
  </r>
  <r>
    <m/>
    <n v="63747"/>
    <x v="49"/>
    <x v="5"/>
    <x v="0"/>
    <x v="0"/>
    <s v="FILIAL RIO DE JANEIRO"/>
    <x v="3"/>
  </r>
  <r>
    <m/>
    <n v="62038"/>
    <x v="49"/>
    <x v="5"/>
    <x v="0"/>
    <x v="0"/>
    <s v="FILIAL RIO DE JANEIRO"/>
    <x v="32"/>
  </r>
  <r>
    <m/>
    <n v="63474"/>
    <x v="49"/>
    <x v="5"/>
    <x v="0"/>
    <x v="0"/>
    <s v="FILIAL RIO DE JANEIRO"/>
    <x v="32"/>
  </r>
  <r>
    <m/>
    <n v="61321"/>
    <x v="49"/>
    <x v="2"/>
    <x v="1"/>
    <x v="0"/>
    <s v="FILIAL DF/GO"/>
    <x v="32"/>
  </r>
  <r>
    <m/>
    <n v="60183"/>
    <x v="49"/>
    <x v="3"/>
    <x v="1"/>
    <x v="0"/>
    <s v="FILIAL SP INTERIOR 2"/>
    <x v="3"/>
  </r>
  <r>
    <m/>
    <n v="66072"/>
    <x v="49"/>
    <x v="5"/>
    <x v="0"/>
    <x v="0"/>
    <s v="FILIAL RIO DE JANEIRO"/>
    <x v="47"/>
  </r>
  <r>
    <m/>
    <n v="61635"/>
    <x v="50"/>
    <x v="3"/>
    <x v="1"/>
    <x v="0"/>
    <s v="FILIAL SP INTERIOR 2"/>
    <x v="48"/>
  </r>
  <r>
    <m/>
    <n v="61562"/>
    <x v="50"/>
    <x v="3"/>
    <x v="1"/>
    <x v="0"/>
    <s v="FILIAL SP INTERIOR 2"/>
    <x v="48"/>
  </r>
  <r>
    <m/>
    <n v="65878"/>
    <x v="50"/>
    <x v="0"/>
    <x v="0"/>
    <x v="0"/>
    <s v="FILIAL BELO HORIZONTE"/>
    <x v="3"/>
  </r>
  <r>
    <m/>
    <n v="66941"/>
    <x v="50"/>
    <x v="1"/>
    <x v="0"/>
    <x v="0"/>
    <s v="FILIAL SANTA CATARINA"/>
    <x v="11"/>
  </r>
  <r>
    <m/>
    <n v="62349"/>
    <x v="50"/>
    <x v="1"/>
    <x v="0"/>
    <x v="0"/>
    <s v="FILIAL SANTA CATARINA"/>
    <x v="11"/>
  </r>
  <r>
    <m/>
    <n v="62468"/>
    <x v="50"/>
    <x v="1"/>
    <x v="0"/>
    <x v="1"/>
    <s v="FILIAL SANTA CATARINA"/>
    <x v="11"/>
  </r>
  <r>
    <m/>
    <n v="66029"/>
    <x v="50"/>
    <x v="1"/>
    <x v="0"/>
    <x v="0"/>
    <s v="FILIAL SANTA CATARINA"/>
    <x v="11"/>
  </r>
  <r>
    <m/>
    <n v="66145"/>
    <x v="50"/>
    <x v="1"/>
    <x v="0"/>
    <x v="0"/>
    <s v="FILIAL SANTA CATARINA"/>
    <x v="11"/>
  </r>
  <r>
    <m/>
    <n v="62553"/>
    <x v="51"/>
    <x v="3"/>
    <x v="1"/>
    <x v="0"/>
    <s v="FILIAL GRANDE SP 1"/>
    <x v="11"/>
  </r>
  <r>
    <m/>
    <n v="62685"/>
    <x v="51"/>
    <x v="3"/>
    <x v="1"/>
    <x v="0"/>
    <s v="FILIAL GRANDE SP 1"/>
    <x v="11"/>
  </r>
  <r>
    <m/>
    <n v="63488"/>
    <x v="51"/>
    <x v="3"/>
    <x v="1"/>
    <x v="0"/>
    <s v="FILIAL GRANDE SP 1"/>
    <x v="11"/>
  </r>
  <r>
    <m/>
    <n v="66033"/>
    <x v="51"/>
    <x v="3"/>
    <x v="1"/>
    <x v="0"/>
    <s v="FILIAL GRANDE SP 1"/>
    <x v="11"/>
  </r>
  <r>
    <m/>
    <n v="61698"/>
    <x v="51"/>
    <x v="3"/>
    <x v="1"/>
    <x v="0"/>
    <s v="FILIAL GRANDE SP 2"/>
    <x v="11"/>
  </r>
  <r>
    <m/>
    <n v="60202"/>
    <x v="51"/>
    <x v="5"/>
    <x v="0"/>
    <x v="0"/>
    <s v="FILIAL SP (CONCESSIONARIAS) INTERIOR"/>
    <x v="11"/>
  </r>
  <r>
    <m/>
    <n v="60340"/>
    <x v="51"/>
    <x v="3"/>
    <x v="1"/>
    <x v="0"/>
    <s v="FILIAL SP INTERIOR 2"/>
    <x v="11"/>
  </r>
  <r>
    <m/>
    <n v="62626"/>
    <x v="51"/>
    <x v="3"/>
    <x v="1"/>
    <x v="0"/>
    <s v="FILIAL SP INTERIOR 1"/>
    <x v="11"/>
  </r>
  <r>
    <m/>
    <n v="64857"/>
    <x v="51"/>
    <x v="3"/>
    <x v="1"/>
    <x v="0"/>
    <s v="FILIAL SP INTERIOR 1"/>
    <x v="11"/>
  </r>
  <r>
    <m/>
    <n v="67575"/>
    <x v="51"/>
    <x v="3"/>
    <x v="1"/>
    <x v="0"/>
    <s v="FILIAL SP INTERIOR 1"/>
    <x v="11"/>
  </r>
  <r>
    <m/>
    <n v="62018"/>
    <x v="51"/>
    <x v="3"/>
    <x v="1"/>
    <x v="0"/>
    <s v="FILIAL SP INTERIOR 2"/>
    <x v="11"/>
  </r>
  <r>
    <m/>
    <n v="63913"/>
    <x v="52"/>
    <x v="1"/>
    <x v="0"/>
    <x v="0"/>
    <s v="FILIAL PARANA"/>
    <x v="32"/>
  </r>
  <r>
    <m/>
    <n v="62176"/>
    <x v="53"/>
    <x v="1"/>
    <x v="0"/>
    <x v="0"/>
    <s v="FILIAL SANTA CATARINA"/>
    <x v="3"/>
  </r>
  <r>
    <m/>
    <n v="61619"/>
    <x v="53"/>
    <x v="1"/>
    <x v="0"/>
    <x v="0"/>
    <s v="FILIAL SANTA CATARINA"/>
    <x v="11"/>
  </r>
  <r>
    <m/>
    <n v="65598"/>
    <x v="53"/>
    <x v="1"/>
    <x v="0"/>
    <x v="0"/>
    <s v="FILIAL RIO GRANDE DO SUL"/>
    <x v="11"/>
  </r>
  <r>
    <m/>
    <n v="63576"/>
    <x v="53"/>
    <x v="1"/>
    <x v="0"/>
    <x v="1"/>
    <s v="FILIAL PARANA INTERIOR"/>
    <x v="49"/>
  </r>
  <r>
    <m/>
    <n v="65671"/>
    <x v="53"/>
    <x v="3"/>
    <x v="1"/>
    <x v="0"/>
    <s v="FILIAL SP INTERIOR 2"/>
    <x v="32"/>
  </r>
  <r>
    <m/>
    <n v="64176"/>
    <x v="53"/>
    <x v="3"/>
    <x v="1"/>
    <x v="0"/>
    <s v="FILIAL SP INTERIOR 1"/>
    <x v="11"/>
  </r>
  <r>
    <m/>
    <n v="64960"/>
    <x v="53"/>
    <x v="0"/>
    <x v="0"/>
    <x v="0"/>
    <s v="FILIAL BELO HORIZONTE"/>
    <x v="11"/>
  </r>
  <r>
    <n v="60377"/>
    <m/>
    <x v="54"/>
    <x v="3"/>
    <x v="1"/>
    <x v="0"/>
    <s v="FILIAL SP INTERIOR 1"/>
    <x v="50"/>
  </r>
  <r>
    <n v="61212"/>
    <m/>
    <x v="54"/>
    <x v="1"/>
    <x v="0"/>
    <x v="0"/>
    <s v="FILIAL PARANA INTERIOR"/>
    <x v="51"/>
  </r>
  <r>
    <n v="61213"/>
    <m/>
    <x v="54"/>
    <x v="1"/>
    <x v="0"/>
    <x v="0"/>
    <s v="FILIAL PARANA INTERIOR"/>
    <x v="51"/>
  </r>
  <r>
    <n v="61214"/>
    <m/>
    <x v="54"/>
    <x v="1"/>
    <x v="0"/>
    <x v="0"/>
    <s v="FILIAL PARANA INTERIOR"/>
    <x v="51"/>
  </r>
  <r>
    <n v="61215"/>
    <m/>
    <x v="54"/>
    <x v="1"/>
    <x v="0"/>
    <x v="0"/>
    <s v="FILIAL PARANA INTERIOR"/>
    <x v="51"/>
  </r>
  <r>
    <n v="61216"/>
    <m/>
    <x v="54"/>
    <x v="1"/>
    <x v="0"/>
    <x v="0"/>
    <s v="FILIAL PARANA INTERIOR"/>
    <x v="51"/>
  </r>
  <r>
    <n v="61217"/>
    <m/>
    <x v="54"/>
    <x v="1"/>
    <x v="0"/>
    <x v="0"/>
    <s v="FILIAL PARANA INTERIOR"/>
    <x v="51"/>
  </r>
  <r>
    <n v="61312"/>
    <m/>
    <x v="54"/>
    <x v="1"/>
    <x v="0"/>
    <x v="0"/>
    <s v="FILIAL PARANA INTERIOR"/>
    <x v="51"/>
  </r>
  <r>
    <n v="62059"/>
    <m/>
    <x v="54"/>
    <x v="0"/>
    <x v="0"/>
    <x v="0"/>
    <s v="FILIAL BELO HORIZONTE"/>
    <x v="52"/>
  </r>
  <r>
    <n v="62232"/>
    <m/>
    <x v="54"/>
    <x v="0"/>
    <x v="0"/>
    <x v="0"/>
    <s v="FILIAL BELO HORIZONTE INTERIOR"/>
    <x v="53"/>
  </r>
  <r>
    <n v="62279"/>
    <m/>
    <x v="54"/>
    <x v="0"/>
    <x v="0"/>
    <x v="0"/>
    <s v="FILIAL BELO HORIZONTE INTERIOR"/>
    <x v="53"/>
  </r>
  <r>
    <n v="62420"/>
    <m/>
    <x v="54"/>
    <x v="0"/>
    <x v="0"/>
    <x v="0"/>
    <s v="FILIAL BELO HORIZONTE INTERIOR"/>
    <x v="54"/>
  </r>
  <r>
    <n v="62635"/>
    <m/>
    <x v="54"/>
    <x v="5"/>
    <x v="0"/>
    <x v="0"/>
    <s v="FILIAL RIO DE JANEIRO"/>
    <x v="32"/>
  </r>
  <r>
    <n v="64148"/>
    <m/>
    <x v="54"/>
    <x v="0"/>
    <x v="0"/>
    <x v="0"/>
    <s v="FILIAL BELO HORIZONTE INTERIOR"/>
    <x v="55"/>
  </r>
  <r>
    <n v="64472"/>
    <m/>
    <x v="54"/>
    <x v="1"/>
    <x v="0"/>
    <x v="0"/>
    <s v="FILIAL PARANA INTERIOR"/>
    <x v="56"/>
  </r>
  <r>
    <n v="64920"/>
    <m/>
    <x v="54"/>
    <x v="1"/>
    <x v="0"/>
    <x v="0"/>
    <s v="FILIAL PARANA INTERIOR"/>
    <x v="11"/>
  </r>
  <r>
    <n v="64921"/>
    <m/>
    <x v="54"/>
    <x v="1"/>
    <x v="0"/>
    <x v="0"/>
    <s v="FILIAL PARANA INTERIOR"/>
    <x v="32"/>
  </r>
  <r>
    <n v="65838"/>
    <m/>
    <x v="54"/>
    <x v="1"/>
    <x v="0"/>
    <x v="0"/>
    <s v="FILIAL PARANA INTERIOR"/>
    <x v="51"/>
  </r>
  <r>
    <n v="62535"/>
    <m/>
    <x v="54"/>
    <x v="1"/>
    <x v="0"/>
    <x v="0"/>
    <s v="FILIAL SANTA CATARINA"/>
    <x v="57"/>
  </r>
  <r>
    <n v="62601"/>
    <m/>
    <x v="54"/>
    <x v="1"/>
    <x v="0"/>
    <x v="0"/>
    <s v="FILIAL SANTA CATARINA"/>
    <x v="57"/>
  </r>
  <r>
    <n v="62905"/>
    <m/>
    <x v="54"/>
    <x v="1"/>
    <x v="0"/>
    <x v="0"/>
    <s v="FILIAL SANTA CATARINA"/>
    <x v="58"/>
  </r>
  <r>
    <n v="61573"/>
    <m/>
    <x v="54"/>
    <x v="3"/>
    <x v="1"/>
    <x v="0"/>
    <s v="FILIAL GRANDE SP 1"/>
    <x v="59"/>
  </r>
  <r>
    <n v="63488"/>
    <m/>
    <x v="54"/>
    <x v="3"/>
    <x v="1"/>
    <x v="0"/>
    <s v="FILIAL GRANDE SP 1"/>
    <x v="3"/>
  </r>
  <r>
    <n v="64514"/>
    <m/>
    <x v="54"/>
    <x v="5"/>
    <x v="0"/>
    <x v="1"/>
    <s v="FILIAL RIO DE JANEIRO"/>
    <x v="3"/>
  </r>
  <r>
    <n v="64515"/>
    <m/>
    <x v="54"/>
    <x v="5"/>
    <x v="0"/>
    <x v="1"/>
    <s v="FILIAL RIO DE JANEIRO"/>
    <x v="3"/>
  </r>
  <r>
    <n v="65778"/>
    <m/>
    <x v="54"/>
    <x v="3"/>
    <x v="1"/>
    <x v="0"/>
    <s v="FILIAL SP INTERIOR 1"/>
    <x v="32"/>
  </r>
  <r>
    <n v="61554"/>
    <m/>
    <x v="54"/>
    <x v="2"/>
    <x v="1"/>
    <x v="0"/>
    <s v="FILIAL DF/GO"/>
    <x v="54"/>
  </r>
  <r>
    <n v="65017"/>
    <m/>
    <x v="55"/>
    <x v="2"/>
    <x v="1"/>
    <x v="0"/>
    <s v="FILIAL NORTE"/>
    <x v="11"/>
  </r>
  <r>
    <n v="63548"/>
    <m/>
    <x v="55"/>
    <x v="2"/>
    <x v="1"/>
    <x v="0"/>
    <s v="FILIAL MS/MT"/>
    <x v="59"/>
  </r>
  <r>
    <n v="65398"/>
    <m/>
    <x v="56"/>
    <x v="0"/>
    <x v="0"/>
    <x v="0"/>
    <s v="FILIAL BELO HORIZONTE INTERIOR"/>
    <x v="60"/>
  </r>
  <r>
    <n v="61004"/>
    <m/>
    <x v="57"/>
    <x v="1"/>
    <x v="0"/>
    <x v="0"/>
    <s v="FILIAL PARANA"/>
    <x v="34"/>
  </r>
  <r>
    <n v="66047"/>
    <m/>
    <x v="58"/>
    <x v="2"/>
    <x v="1"/>
    <x v="0"/>
    <s v="FILIAL NORTE"/>
    <x v="11"/>
  </r>
  <r>
    <n v="66035"/>
    <m/>
    <x v="58"/>
    <x v="2"/>
    <x v="1"/>
    <x v="0"/>
    <s v="FILIAL NORTE"/>
    <x v="11"/>
  </r>
  <r>
    <n v="65616"/>
    <m/>
    <x v="58"/>
    <x v="2"/>
    <x v="1"/>
    <x v="0"/>
    <s v="FILIAL NORTE"/>
    <x v="11"/>
  </r>
  <r>
    <n v="66740"/>
    <m/>
    <x v="59"/>
    <x v="4"/>
    <x v="1"/>
    <x v="0"/>
    <s v="FILIAL FORTALEZA"/>
    <x v="11"/>
  </r>
  <r>
    <n v="66384"/>
    <m/>
    <x v="59"/>
    <x v="4"/>
    <x v="1"/>
    <x v="0"/>
    <s v="FILIAL FORTALEZA"/>
    <x v="11"/>
  </r>
  <r>
    <n v="64595"/>
    <m/>
    <x v="60"/>
    <x v="3"/>
    <x v="1"/>
    <x v="0"/>
    <s v="FILIAL SP INTERIOR 1"/>
    <x v="6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C3C32B-A0A2-4258-A0F4-B62336B652B8}" name="Tabela dinâmica2" cacheId="2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>
  <location ref="J3:L5" firstHeaderRow="0" firstDataRow="1" firstDataCol="1"/>
  <pivotFields count="11">
    <pivotField dataField="1" showAll="0"/>
    <pivotField dataField="1" showAll="0"/>
    <pivotField numFmtId="14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ragToRow="0" dragToCol="0" dragToPage="0" showAll="0" defaultSubtotal="0"/>
  </pivotFields>
  <rowFields count="1">
    <field x="4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Contagem de N° DN" fld="1" subtotal="count" baseField="3" baseItem="0"/>
    <dataField name="Contagem de DNs STAND BY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2CBE14-79A6-4EE9-B126-52A7AB63FF0E}" name="Tabela dinâmica1" cacheId="2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34">
  <location ref="A3:C11" firstHeaderRow="0" firstDataRow="1" firstDataCol="1"/>
  <pivotFields count="11">
    <pivotField dataField="1" showAll="0"/>
    <pivotField dataField="1" showAll="0"/>
    <pivotField numFmtId="14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Row" showAll="0" sortType="ascending">
      <items count="15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0"/>
        <item sd="0" x="13"/>
        <item t="default"/>
      </items>
    </pivotField>
    <pivotField dragToRow="0" dragToCol="0" dragToPage="0" showAll="0" defaultSubtotal="0"/>
  </pivotFields>
  <rowFields count="1">
    <field x="9"/>
  </rowFields>
  <rowItems count="8"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-2"/>
  </colFields>
  <colItems count="2">
    <i>
      <x/>
    </i>
    <i i="1">
      <x v="1"/>
    </i>
  </colItems>
  <dataFields count="2">
    <dataField name="Contagem de N° DN" fld="1" subtotal="count" baseField="8" baseItem="3"/>
    <dataField name="Contagem de DNs STAND BY" fld="0" subtotal="count" baseField="8" baseItem="3"/>
  </dataFields>
  <chartFormats count="5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6">
      <pivotArea type="data" outline="0" fieldPosition="0">
        <references count="2">
          <reference field="4294967294" count="1" selected="0">
            <x v="1"/>
          </reference>
          <reference field="9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BC8190-7A62-4AE3-82A7-F796D61754EC}" name="Tabela dinâmica6" cacheId="2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>
  <location ref="X3:Z65" firstHeaderRow="0" firstDataRow="1" firstDataCol="1"/>
  <pivotFields count="11">
    <pivotField dataField="1" showAll="0"/>
    <pivotField dataField="1" showAll="0"/>
    <pivotField numFmtId="14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axis="axisRow" showAll="0">
      <items count="70">
        <item x="3"/>
        <item x="9"/>
        <item x="31"/>
        <item x="21"/>
        <item x="57"/>
        <item x="39"/>
        <item x="24"/>
        <item x="37"/>
        <item x="49"/>
        <item x="34"/>
        <item x="8"/>
        <item x="26"/>
        <item x="29"/>
        <item x="33"/>
        <item x="41"/>
        <item x="47"/>
        <item x="42"/>
        <item x="40"/>
        <item x="52"/>
        <item x="22"/>
        <item x="43"/>
        <item x="45"/>
        <item m="1" x="65"/>
        <item m="1" x="67"/>
        <item m="1" x="64"/>
        <item x="44"/>
        <item x="11"/>
        <item m="1" x="63"/>
        <item x="1"/>
        <item x="32"/>
        <item x="55"/>
        <item x="50"/>
        <item x="12"/>
        <item x="25"/>
        <item x="20"/>
        <item x="2"/>
        <item x="16"/>
        <item x="23"/>
        <item m="1" x="66"/>
        <item m="1" x="68"/>
        <item x="53"/>
        <item x="46"/>
        <item x="59"/>
        <item x="54"/>
        <item x="56"/>
        <item x="36"/>
        <item x="7"/>
        <item x="48"/>
        <item x="27"/>
        <item x="38"/>
        <item x="17"/>
        <item x="30"/>
        <item x="4"/>
        <item m="1" x="62"/>
        <item x="28"/>
        <item x="6"/>
        <item x="10"/>
        <item x="5"/>
        <item x="15"/>
        <item x="58"/>
        <item x="0"/>
        <item x="19"/>
        <item x="35"/>
        <item x="18"/>
        <item x="13"/>
        <item x="14"/>
        <item x="51"/>
        <item x="60"/>
        <item x="61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ragToRow="0" dragToCol="0" dragToPage="0" showAll="0" defaultSubtotal="0"/>
  </pivotFields>
  <rowFields count="1">
    <field x="7"/>
  </rowFields>
  <rowItems count="6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5"/>
    </i>
    <i>
      <x v="26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</rowItems>
  <colFields count="1">
    <field x="-2"/>
  </colFields>
  <colItems count="2">
    <i>
      <x/>
    </i>
    <i i="1">
      <x v="1"/>
    </i>
  </colItems>
  <dataFields count="2">
    <dataField name="Contagem de N° DN" fld="1" subtotal="count" baseField="3" baseItem="0"/>
    <dataField name="Contagem de DNs STAND BY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A03FC1-33AD-41BE-AF76-70E2989B115C}" name="Tabela dinâmica4" cacheId="2" applyNumberFormats="0" applyBorderFormats="0" applyFontFormats="0" applyPatternFormats="0" applyAlignmentFormats="0" applyWidthHeightFormats="1" dataCaption="Valores" updatedVersion="8" minRefreshableVersion="3" pageWrap="5" rowGrandTotals="0" colGrandTotals="0" itemPrintTitles="1" createdVersion="8" indent="0" outline="1" outlineData="1" multipleFieldFilters="0" chartFormat="44">
  <location ref="T3:U8" firstHeaderRow="1" firstDataRow="1" firstDataCol="1"/>
  <pivotFields count="11">
    <pivotField showAll="0"/>
    <pivotField showAll="0"/>
    <pivotField numFmtId="14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axis="axisRow" dataField="1" showAll="0" measureFilter="1" sortType="descending">
      <items count="70">
        <item x="14"/>
        <item x="13"/>
        <item x="18"/>
        <item x="35"/>
        <item x="19"/>
        <item x="0"/>
        <item x="58"/>
        <item x="15"/>
        <item x="5"/>
        <item x="10"/>
        <item x="6"/>
        <item x="28"/>
        <item m="1" x="62"/>
        <item x="4"/>
        <item x="30"/>
        <item x="17"/>
        <item x="38"/>
        <item x="27"/>
        <item x="48"/>
        <item x="7"/>
        <item x="36"/>
        <item x="56"/>
        <item x="54"/>
        <item x="59"/>
        <item x="46"/>
        <item x="53"/>
        <item m="1" x="68"/>
        <item m="1" x="66"/>
        <item x="23"/>
        <item x="16"/>
        <item x="2"/>
        <item x="20"/>
        <item x="25"/>
        <item x="12"/>
        <item x="50"/>
        <item x="55"/>
        <item x="32"/>
        <item x="1"/>
        <item m="1" x="63"/>
        <item x="11"/>
        <item x="44"/>
        <item m="1" x="64"/>
        <item m="1" x="67"/>
        <item m="1" x="65"/>
        <item x="45"/>
        <item x="43"/>
        <item x="22"/>
        <item x="52"/>
        <item x="40"/>
        <item x="42"/>
        <item x="47"/>
        <item x="41"/>
        <item x="33"/>
        <item x="29"/>
        <item x="26"/>
        <item x="8"/>
        <item x="34"/>
        <item x="49"/>
        <item x="37"/>
        <item x="24"/>
        <item x="39"/>
        <item x="57"/>
        <item x="21"/>
        <item x="31"/>
        <item x="9"/>
        <item x="3"/>
        <item x="51"/>
        <item x="60"/>
        <item x="6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showAll="0" sortType="ascending">
      <items count="15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0"/>
        <item sd="0" x="13"/>
        <item t="default"/>
      </items>
    </pivotField>
    <pivotField dragToRow="0" dragToCol="0" dragToPage="0" showAll="0" defaultSubtotal="0"/>
  </pivotFields>
  <rowFields count="1">
    <field x="7"/>
  </rowFields>
  <rowItems count="5">
    <i>
      <x v="39"/>
    </i>
    <i>
      <x v="65"/>
    </i>
    <i>
      <x v="36"/>
    </i>
    <i>
      <x v="13"/>
    </i>
    <i>
      <x v="31"/>
    </i>
  </rowItems>
  <colItems count="1">
    <i/>
  </colItems>
  <dataFields count="1">
    <dataField name="Contagem de MOTIVOS PARA DESCREDENCIAMENTO" fld="7" subtotal="count" baseField="0" baseItem="0"/>
  </dataFields>
  <chartFormats count="1">
    <chartFormat chart="2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94AF7A-9E2F-4352-B4AE-37F58315A37F}" name="Tabela dinâmica5" cacheId="2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15">
  <location ref="N3:P9" firstHeaderRow="0" firstDataRow="1" firstDataCol="1"/>
  <pivotFields count="11">
    <pivotField dataField="1" showAll="0"/>
    <pivotField dataField="1" showAll="0"/>
    <pivotField numFmtId="14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axis="axisRow" showAll="0" sortType="ascending">
      <items count="7">
        <item x="3"/>
        <item x="1"/>
        <item x="5"/>
        <item x="4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ragToRow="0" dragToCol="0" dragToPage="0" showAll="0" defaultSubtotal="0"/>
  </pivotFields>
  <rowFields count="1">
    <field x="3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-2"/>
  </colFields>
  <colItems count="2">
    <i>
      <x/>
    </i>
    <i i="1">
      <x v="1"/>
    </i>
  </colItems>
  <dataFields count="2">
    <dataField name="Contagem de N° DN" fld="1" subtotal="count" baseField="3" baseItem="0"/>
    <dataField name="Contagem de DNs STAND BY" fld="0" subtotal="count" baseField="3" baseItem="0"/>
  </dataFields>
  <chartFormats count="13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1"/>
          </reference>
          <reference field="3" count="1" selected="0">
            <x v="5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1"/>
          </reference>
          <reference field="3" count="1" selected="0">
            <x v="4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9C0781-6878-484F-90FC-CE28F396376C}" name="Tabela dinâmica3" cacheId="2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12">
  <location ref="F3:H5" firstHeaderRow="0" firstDataRow="1" firstDataCol="1"/>
  <pivotFields count="11">
    <pivotField dataField="1" showAll="0"/>
    <pivotField dataField="1" showAll="0"/>
    <pivotField numFmtId="14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showAll="0"/>
    <pivotField showAll="0">
      <items count="3"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ragToRow="0" dragToCol="0" dragToPage="0" showAll="0" defaultSubtotal="0"/>
  </pivotFields>
  <rowFields count="1">
    <field x="5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Contagem de N° DN" fld="1" subtotal="count" baseField="4" baseItem="1"/>
    <dataField name="Contagem de DNs STAND BY" fld="0" subtotal="count" baseField="4" baseItem="0"/>
  </dataFields>
  <chartFormats count="6"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IVISAO" xr10:uid="{2BEC0076-78AA-4415-BF79-EF2C1B4320D2}" sourceName="DIVISAO">
  <pivotTables>
    <pivotTable tabId="3" name="Tabela dinâmica1"/>
    <pivotTable tabId="3" name="Tabela dinâmica3"/>
    <pivotTable tabId="3" name="Tabela dinâmica5"/>
    <pivotTable tabId="3" name="Tabela dinâmica6"/>
    <pivotTable tabId="3" name="Tabela dinâmica4"/>
    <pivotTable tabId="3" name="Tabela dinâmica2"/>
  </pivotTables>
  <data>
    <tabular pivotCacheId="2038070291">
      <items count="2"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IVISAO" xr10:uid="{50BA6B5D-121A-493D-8F2B-76BC90B99DBB}" cache="SegmentaçãodeDados_DIVISAO" caption="DIVISAO" showCaption="0" style="CARBANK" rowHeight="684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57A0C3-D16B-49DC-B194-789F8144B50B}" name="Tabela1" displayName="Tabela1" ref="A1:H231" totalsRowShown="0">
  <autoFilter ref="A1:H231" xr:uid="{9557A0C3-D16B-49DC-B194-789F8144B50B}"/>
  <tableColumns count="8">
    <tableColumn id="7" xr3:uid="{FD403177-7D52-441D-870C-6C9ECCEFCDAC}" name="DNs STAND BY"/>
    <tableColumn id="1" xr3:uid="{B6D244F7-0EE1-423C-A044-704C62284392}" name="N° DN"/>
    <tableColumn id="2" xr3:uid="{BDEF2890-E497-441B-BF27-B031E99FB11D}" name="DATA DO DESCREDENCIAMENTO" dataDxfId="5"/>
    <tableColumn id="3" xr3:uid="{E9504D48-64B6-4A9D-AA85-6A799D965D93}" name="REGIONAIS"/>
    <tableColumn id="11" xr3:uid="{FBD3034B-E524-47C9-9B54-2A9F0F5EFADE}" name="DIVISAO" dataDxfId="4"/>
    <tableColumn id="4" xr3:uid="{74F0B1D7-7559-4960-ACBC-BF2D65AEC79E}" name="TIPO DE LOJA"/>
    <tableColumn id="5" xr3:uid="{F4A9CA2E-651A-4866-9292-6E5FAFA3583B}" name="FILIAL"/>
    <tableColumn id="6" xr3:uid="{B03BC30C-7988-4331-9F95-AD854EC8039D}" name="MOTIVOS PARA DESCREDENCIAMENTO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0"/>
  <sheetViews>
    <sheetView topLeftCell="A209" zoomScale="85" zoomScaleNormal="85" workbookViewId="0">
      <selection activeCell="G231" sqref="G231"/>
    </sheetView>
  </sheetViews>
  <sheetFormatPr defaultRowHeight="14.5" x14ac:dyDescent="0.35"/>
  <cols>
    <col min="1" max="1" width="15.6328125" bestFit="1" customWidth="1"/>
    <col min="2" max="2" width="12.6328125" customWidth="1"/>
    <col min="3" max="3" width="32.90625" bestFit="1" customWidth="1"/>
    <col min="4" max="5" width="14.1796875" customWidth="1"/>
    <col min="6" max="6" width="36" bestFit="1" customWidth="1"/>
    <col min="7" max="7" width="36.08984375" customWidth="1"/>
    <col min="8" max="8" width="126.6328125" bestFit="1" customWidth="1"/>
  </cols>
  <sheetData>
    <row r="1" spans="1:8" x14ac:dyDescent="0.35">
      <c r="A1" t="s">
        <v>80</v>
      </c>
      <c r="B1" t="s">
        <v>0</v>
      </c>
      <c r="C1" t="s">
        <v>1</v>
      </c>
      <c r="D1" t="s">
        <v>2</v>
      </c>
      <c r="E1" t="s">
        <v>106</v>
      </c>
      <c r="F1" t="s">
        <v>5</v>
      </c>
      <c r="G1" t="s">
        <v>3</v>
      </c>
      <c r="H1" t="s">
        <v>4</v>
      </c>
    </row>
    <row r="2" spans="1:8" x14ac:dyDescent="0.35">
      <c r="B2">
        <v>63689</v>
      </c>
      <c r="C2" s="1">
        <v>45721</v>
      </c>
      <c r="D2" t="s">
        <v>6</v>
      </c>
      <c r="E2" t="s">
        <v>104</v>
      </c>
      <c r="F2" t="s">
        <v>12</v>
      </c>
      <c r="G2" t="s">
        <v>14</v>
      </c>
      <c r="H2" s="2" t="s">
        <v>30</v>
      </c>
    </row>
    <row r="3" spans="1:8" x14ac:dyDescent="0.35">
      <c r="B3">
        <v>62798</v>
      </c>
      <c r="C3" s="1">
        <v>45726</v>
      </c>
      <c r="D3" t="s">
        <v>7</v>
      </c>
      <c r="E3" t="s">
        <v>104</v>
      </c>
      <c r="F3" t="s">
        <v>12</v>
      </c>
      <c r="G3" t="s">
        <v>15</v>
      </c>
      <c r="H3" s="2" t="s">
        <v>31</v>
      </c>
    </row>
    <row r="4" spans="1:8" x14ac:dyDescent="0.35">
      <c r="B4">
        <v>62800</v>
      </c>
      <c r="C4" s="1">
        <v>45726</v>
      </c>
      <c r="D4" t="s">
        <v>7</v>
      </c>
      <c r="E4" t="s">
        <v>104</v>
      </c>
      <c r="F4" t="s">
        <v>12</v>
      </c>
      <c r="G4" t="s">
        <v>15</v>
      </c>
      <c r="H4" s="2" t="s">
        <v>31</v>
      </c>
    </row>
    <row r="5" spans="1:8" x14ac:dyDescent="0.35">
      <c r="B5">
        <v>61824</v>
      </c>
      <c r="C5" s="1">
        <v>45729</v>
      </c>
      <c r="D5" t="s">
        <v>8</v>
      </c>
      <c r="E5" t="s">
        <v>105</v>
      </c>
      <c r="F5" t="s">
        <v>12</v>
      </c>
      <c r="G5" t="s">
        <v>16</v>
      </c>
      <c r="H5" s="2" t="s">
        <v>32</v>
      </c>
    </row>
    <row r="6" spans="1:8" x14ac:dyDescent="0.35">
      <c r="B6">
        <v>62309</v>
      </c>
      <c r="C6" s="1">
        <v>45734</v>
      </c>
      <c r="D6" t="s">
        <v>9</v>
      </c>
      <c r="E6" t="s">
        <v>105</v>
      </c>
      <c r="F6" t="s">
        <v>12</v>
      </c>
      <c r="G6" t="s">
        <v>17</v>
      </c>
      <c r="H6" s="2" t="s">
        <v>38</v>
      </c>
    </row>
    <row r="7" spans="1:8" x14ac:dyDescent="0.35">
      <c r="B7">
        <v>63131</v>
      </c>
      <c r="C7" s="1">
        <v>45734</v>
      </c>
      <c r="D7" t="s">
        <v>9</v>
      </c>
      <c r="E7" t="s">
        <v>105</v>
      </c>
      <c r="F7" t="s">
        <v>12</v>
      </c>
      <c r="G7" t="s">
        <v>17</v>
      </c>
      <c r="H7" s="2" t="s">
        <v>33</v>
      </c>
    </row>
    <row r="8" spans="1:8" x14ac:dyDescent="0.35">
      <c r="B8">
        <v>63978</v>
      </c>
      <c r="C8" s="1">
        <v>45734</v>
      </c>
      <c r="D8" t="s">
        <v>9</v>
      </c>
      <c r="E8" t="s">
        <v>105</v>
      </c>
      <c r="F8" t="s">
        <v>12</v>
      </c>
      <c r="G8" t="s">
        <v>17</v>
      </c>
      <c r="H8" s="2" t="s">
        <v>33</v>
      </c>
    </row>
    <row r="9" spans="1:8" x14ac:dyDescent="0.35">
      <c r="B9">
        <v>62308</v>
      </c>
      <c r="C9" s="1">
        <v>45736</v>
      </c>
      <c r="D9" t="s">
        <v>7</v>
      </c>
      <c r="E9" t="s">
        <v>104</v>
      </c>
      <c r="F9" t="s">
        <v>12</v>
      </c>
      <c r="G9" t="s">
        <v>18</v>
      </c>
      <c r="H9" s="2" t="s">
        <v>38</v>
      </c>
    </row>
    <row r="10" spans="1:8" x14ac:dyDescent="0.35">
      <c r="B10">
        <v>62480</v>
      </c>
      <c r="C10" s="1">
        <v>45736</v>
      </c>
      <c r="D10" t="s">
        <v>7</v>
      </c>
      <c r="E10" t="s">
        <v>104</v>
      </c>
      <c r="F10" t="s">
        <v>12</v>
      </c>
      <c r="G10" t="s">
        <v>18</v>
      </c>
      <c r="H10" s="2" t="s">
        <v>34</v>
      </c>
    </row>
    <row r="11" spans="1:8" x14ac:dyDescent="0.35">
      <c r="B11">
        <v>62497</v>
      </c>
      <c r="C11" s="1">
        <v>45736</v>
      </c>
      <c r="D11" t="s">
        <v>7</v>
      </c>
      <c r="E11" t="s">
        <v>104</v>
      </c>
      <c r="F11" t="s">
        <v>12</v>
      </c>
      <c r="G11" t="s">
        <v>18</v>
      </c>
      <c r="H11" s="2" t="s">
        <v>34</v>
      </c>
    </row>
    <row r="12" spans="1:8" x14ac:dyDescent="0.35">
      <c r="B12">
        <v>62598</v>
      </c>
      <c r="C12" s="1">
        <v>45736</v>
      </c>
      <c r="D12" t="s">
        <v>7</v>
      </c>
      <c r="E12" t="s">
        <v>104</v>
      </c>
      <c r="F12" t="s">
        <v>12</v>
      </c>
      <c r="G12" t="s">
        <v>18</v>
      </c>
      <c r="H12" s="2" t="s">
        <v>38</v>
      </c>
    </row>
    <row r="13" spans="1:8" x14ac:dyDescent="0.35">
      <c r="B13">
        <v>62602</v>
      </c>
      <c r="C13" s="1">
        <v>45736</v>
      </c>
      <c r="D13" t="s">
        <v>7</v>
      </c>
      <c r="E13" t="s">
        <v>104</v>
      </c>
      <c r="F13" t="s">
        <v>12</v>
      </c>
      <c r="G13" t="s">
        <v>18</v>
      </c>
      <c r="H13" s="2" t="s">
        <v>35</v>
      </c>
    </row>
    <row r="14" spans="1:8" x14ac:dyDescent="0.35">
      <c r="B14">
        <v>62653</v>
      </c>
      <c r="C14" s="1">
        <v>45736</v>
      </c>
      <c r="D14" t="s">
        <v>9</v>
      </c>
      <c r="E14" t="s">
        <v>105</v>
      </c>
      <c r="F14" t="s">
        <v>12</v>
      </c>
      <c r="G14" t="s">
        <v>19</v>
      </c>
      <c r="H14" s="2" t="s">
        <v>36</v>
      </c>
    </row>
    <row r="15" spans="1:8" x14ac:dyDescent="0.35">
      <c r="B15">
        <v>63470</v>
      </c>
      <c r="C15" s="1">
        <v>45736</v>
      </c>
      <c r="D15" t="s">
        <v>9</v>
      </c>
      <c r="E15" t="s">
        <v>105</v>
      </c>
      <c r="F15" t="s">
        <v>12</v>
      </c>
      <c r="G15" t="s">
        <v>20</v>
      </c>
      <c r="H15" s="2" t="s">
        <v>38</v>
      </c>
    </row>
    <row r="16" spans="1:8" x14ac:dyDescent="0.35">
      <c r="B16">
        <v>63500</v>
      </c>
      <c r="C16" s="1">
        <v>45737</v>
      </c>
      <c r="D16" t="s">
        <v>8</v>
      </c>
      <c r="E16" t="s">
        <v>105</v>
      </c>
      <c r="F16" t="s">
        <v>12</v>
      </c>
      <c r="G16" t="s">
        <v>16</v>
      </c>
      <c r="H16" s="2" t="s">
        <v>37</v>
      </c>
    </row>
    <row r="17" spans="2:8" x14ac:dyDescent="0.35">
      <c r="B17">
        <v>62463</v>
      </c>
      <c r="C17" s="1">
        <v>45737</v>
      </c>
      <c r="D17" t="s">
        <v>7</v>
      </c>
      <c r="E17" t="s">
        <v>104</v>
      </c>
      <c r="F17" t="s">
        <v>12</v>
      </c>
      <c r="G17" t="s">
        <v>18</v>
      </c>
      <c r="H17" s="2" t="s">
        <v>38</v>
      </c>
    </row>
    <row r="18" spans="2:8" x14ac:dyDescent="0.35">
      <c r="B18">
        <v>60931</v>
      </c>
      <c r="C18" s="1">
        <v>45737</v>
      </c>
      <c r="D18" t="s">
        <v>9</v>
      </c>
      <c r="E18" t="s">
        <v>105</v>
      </c>
      <c r="F18" t="s">
        <v>12</v>
      </c>
      <c r="G18" t="s">
        <v>17</v>
      </c>
      <c r="H18" s="2" t="s">
        <v>33</v>
      </c>
    </row>
    <row r="19" spans="2:8" x14ac:dyDescent="0.35">
      <c r="B19">
        <v>61441</v>
      </c>
      <c r="C19" s="1">
        <v>45737</v>
      </c>
      <c r="D19" t="s">
        <v>8</v>
      </c>
      <c r="E19" t="s">
        <v>105</v>
      </c>
      <c r="F19" t="s">
        <v>12</v>
      </c>
      <c r="G19" t="s">
        <v>16</v>
      </c>
      <c r="H19" s="2" t="s">
        <v>33</v>
      </c>
    </row>
    <row r="20" spans="2:8" x14ac:dyDescent="0.35">
      <c r="B20">
        <v>62067</v>
      </c>
      <c r="C20" s="1">
        <v>45737</v>
      </c>
      <c r="D20" t="s">
        <v>9</v>
      </c>
      <c r="E20" t="s">
        <v>105</v>
      </c>
      <c r="F20" t="s">
        <v>12</v>
      </c>
      <c r="G20" t="s">
        <v>17</v>
      </c>
      <c r="H20" s="2" t="s">
        <v>33</v>
      </c>
    </row>
    <row r="21" spans="2:8" x14ac:dyDescent="0.35">
      <c r="B21">
        <v>62117</v>
      </c>
      <c r="C21" s="1">
        <v>45737</v>
      </c>
      <c r="D21" t="s">
        <v>9</v>
      </c>
      <c r="E21" t="s">
        <v>105</v>
      </c>
      <c r="F21" t="s">
        <v>12</v>
      </c>
      <c r="G21" t="s">
        <v>17</v>
      </c>
      <c r="H21" s="2" t="s">
        <v>33</v>
      </c>
    </row>
    <row r="22" spans="2:8" x14ac:dyDescent="0.35">
      <c r="B22">
        <v>62321</v>
      </c>
      <c r="C22" s="1">
        <v>45737</v>
      </c>
      <c r="D22" t="s">
        <v>7</v>
      </c>
      <c r="E22" t="s">
        <v>104</v>
      </c>
      <c r="F22" t="s">
        <v>12</v>
      </c>
      <c r="G22" t="s">
        <v>18</v>
      </c>
      <c r="H22" s="2" t="s">
        <v>33</v>
      </c>
    </row>
    <row r="23" spans="2:8" x14ac:dyDescent="0.35">
      <c r="B23">
        <v>62574</v>
      </c>
      <c r="C23" s="1">
        <v>45737</v>
      </c>
      <c r="D23" t="s">
        <v>9</v>
      </c>
      <c r="E23" t="s">
        <v>105</v>
      </c>
      <c r="F23" t="s">
        <v>12</v>
      </c>
      <c r="G23" t="s">
        <v>17</v>
      </c>
      <c r="H23" s="2" t="s">
        <v>33</v>
      </c>
    </row>
    <row r="24" spans="2:8" x14ac:dyDescent="0.35">
      <c r="B24">
        <v>62748</v>
      </c>
      <c r="C24" s="1">
        <v>45737</v>
      </c>
      <c r="D24" t="s">
        <v>9</v>
      </c>
      <c r="E24" t="s">
        <v>105</v>
      </c>
      <c r="F24" t="s">
        <v>12</v>
      </c>
      <c r="G24" t="s">
        <v>17</v>
      </c>
      <c r="H24" s="2" t="s">
        <v>33</v>
      </c>
    </row>
    <row r="25" spans="2:8" x14ac:dyDescent="0.35">
      <c r="B25">
        <v>62783</v>
      </c>
      <c r="C25" s="1">
        <v>45737</v>
      </c>
      <c r="D25" t="s">
        <v>9</v>
      </c>
      <c r="E25" t="s">
        <v>105</v>
      </c>
      <c r="F25" t="s">
        <v>12</v>
      </c>
      <c r="G25" t="s">
        <v>17</v>
      </c>
      <c r="H25" s="2" t="s">
        <v>33</v>
      </c>
    </row>
    <row r="26" spans="2:8" x14ac:dyDescent="0.35">
      <c r="B26">
        <v>62986</v>
      </c>
      <c r="C26" s="1">
        <v>45737</v>
      </c>
      <c r="D26" t="s">
        <v>9</v>
      </c>
      <c r="E26" t="s">
        <v>105</v>
      </c>
      <c r="F26" t="s">
        <v>12</v>
      </c>
      <c r="G26" t="s">
        <v>19</v>
      </c>
      <c r="H26" s="2" t="s">
        <v>33</v>
      </c>
    </row>
    <row r="27" spans="2:8" x14ac:dyDescent="0.35">
      <c r="B27">
        <v>63835</v>
      </c>
      <c r="C27" s="1">
        <v>45737</v>
      </c>
      <c r="D27" t="s">
        <v>10</v>
      </c>
      <c r="E27" t="s">
        <v>105</v>
      </c>
      <c r="F27" t="s">
        <v>12</v>
      </c>
      <c r="G27" t="s">
        <v>21</v>
      </c>
      <c r="H27" s="2" t="s">
        <v>33</v>
      </c>
    </row>
    <row r="28" spans="2:8" x14ac:dyDescent="0.35">
      <c r="B28">
        <v>63902</v>
      </c>
      <c r="C28" s="1">
        <v>45737</v>
      </c>
      <c r="D28" t="s">
        <v>9</v>
      </c>
      <c r="E28" t="s">
        <v>105</v>
      </c>
      <c r="F28" t="s">
        <v>12</v>
      </c>
      <c r="G28" t="s">
        <v>17</v>
      </c>
      <c r="H28" s="2" t="s">
        <v>33</v>
      </c>
    </row>
    <row r="29" spans="2:8" x14ac:dyDescent="0.35">
      <c r="B29">
        <v>63991</v>
      </c>
      <c r="C29" s="1">
        <v>45737</v>
      </c>
      <c r="D29" t="s">
        <v>10</v>
      </c>
      <c r="E29" t="s">
        <v>105</v>
      </c>
      <c r="F29" t="s">
        <v>12</v>
      </c>
      <c r="G29" t="s">
        <v>21</v>
      </c>
      <c r="H29" s="2" t="s">
        <v>33</v>
      </c>
    </row>
    <row r="30" spans="2:8" x14ac:dyDescent="0.35">
      <c r="B30">
        <v>64618</v>
      </c>
      <c r="C30" s="1">
        <v>45737</v>
      </c>
      <c r="D30" t="s">
        <v>9</v>
      </c>
      <c r="E30" t="s">
        <v>105</v>
      </c>
      <c r="F30" t="s">
        <v>12</v>
      </c>
      <c r="G30" t="s">
        <v>17</v>
      </c>
      <c r="H30" s="2" t="s">
        <v>33</v>
      </c>
    </row>
    <row r="31" spans="2:8" x14ac:dyDescent="0.35">
      <c r="B31">
        <v>63883</v>
      </c>
      <c r="C31" s="1">
        <v>45741</v>
      </c>
      <c r="D31" t="s">
        <v>8</v>
      </c>
      <c r="E31" t="s">
        <v>105</v>
      </c>
      <c r="F31" t="s">
        <v>12</v>
      </c>
      <c r="G31" t="s">
        <v>22</v>
      </c>
      <c r="H31" s="2" t="s">
        <v>38</v>
      </c>
    </row>
    <row r="32" spans="2:8" x14ac:dyDescent="0.35">
      <c r="B32">
        <v>60318</v>
      </c>
      <c r="C32" s="1">
        <v>45748</v>
      </c>
      <c r="D32" t="s">
        <v>9</v>
      </c>
      <c r="E32" t="s">
        <v>105</v>
      </c>
      <c r="F32" t="s">
        <v>12</v>
      </c>
      <c r="G32" t="s">
        <v>20</v>
      </c>
      <c r="H32" s="2" t="s">
        <v>79</v>
      </c>
    </row>
    <row r="33" spans="2:8" x14ac:dyDescent="0.35">
      <c r="B33">
        <v>63582</v>
      </c>
      <c r="C33" s="1">
        <v>45751</v>
      </c>
      <c r="D33" t="s">
        <v>7</v>
      </c>
      <c r="E33" t="s">
        <v>104</v>
      </c>
      <c r="F33" t="s">
        <v>12</v>
      </c>
      <c r="G33" t="s">
        <v>23</v>
      </c>
      <c r="H33" s="2" t="s">
        <v>39</v>
      </c>
    </row>
    <row r="34" spans="2:8" x14ac:dyDescent="0.35">
      <c r="B34">
        <v>63583</v>
      </c>
      <c r="C34" s="1">
        <v>45751</v>
      </c>
      <c r="D34" t="s">
        <v>7</v>
      </c>
      <c r="E34" t="s">
        <v>104</v>
      </c>
      <c r="F34" t="s">
        <v>12</v>
      </c>
      <c r="G34" t="s">
        <v>23</v>
      </c>
      <c r="H34" s="2" t="s">
        <v>39</v>
      </c>
    </row>
    <row r="35" spans="2:8" x14ac:dyDescent="0.35">
      <c r="B35">
        <v>62001</v>
      </c>
      <c r="C35" s="1">
        <v>45751</v>
      </c>
      <c r="D35" t="s">
        <v>9</v>
      </c>
      <c r="E35" t="s">
        <v>105</v>
      </c>
      <c r="F35" t="s">
        <v>12</v>
      </c>
      <c r="G35" t="s">
        <v>20</v>
      </c>
      <c r="H35" s="2" t="s">
        <v>77</v>
      </c>
    </row>
    <row r="36" spans="2:8" x14ac:dyDescent="0.35">
      <c r="B36">
        <v>64383</v>
      </c>
      <c r="C36" s="1">
        <v>45751</v>
      </c>
      <c r="D36" t="s">
        <v>9</v>
      </c>
      <c r="E36" t="s">
        <v>105</v>
      </c>
      <c r="F36" t="s">
        <v>12</v>
      </c>
      <c r="G36" t="s">
        <v>20</v>
      </c>
      <c r="H36" s="2" t="s">
        <v>77</v>
      </c>
    </row>
    <row r="37" spans="2:8" x14ac:dyDescent="0.35">
      <c r="B37">
        <v>62084</v>
      </c>
      <c r="C37" s="1">
        <v>45751</v>
      </c>
      <c r="D37" t="s">
        <v>9</v>
      </c>
      <c r="E37" t="s">
        <v>105</v>
      </c>
      <c r="F37" t="s">
        <v>12</v>
      </c>
      <c r="G37" t="s">
        <v>17</v>
      </c>
      <c r="H37" s="2" t="s">
        <v>77</v>
      </c>
    </row>
    <row r="38" spans="2:8" x14ac:dyDescent="0.35">
      <c r="B38">
        <v>62132</v>
      </c>
      <c r="C38" s="1">
        <v>45751</v>
      </c>
      <c r="D38" t="s">
        <v>11</v>
      </c>
      <c r="E38" t="s">
        <v>104</v>
      </c>
      <c r="F38" t="s">
        <v>12</v>
      </c>
      <c r="G38" t="s">
        <v>24</v>
      </c>
      <c r="H38" s="2" t="s">
        <v>77</v>
      </c>
    </row>
    <row r="39" spans="2:8" x14ac:dyDescent="0.35">
      <c r="B39">
        <v>60908</v>
      </c>
      <c r="C39" s="1">
        <v>45755</v>
      </c>
      <c r="D39" t="s">
        <v>8</v>
      </c>
      <c r="E39" t="s">
        <v>105</v>
      </c>
      <c r="F39" t="s">
        <v>12</v>
      </c>
      <c r="G39" t="s">
        <v>16</v>
      </c>
      <c r="H39" s="2" t="s">
        <v>40</v>
      </c>
    </row>
    <row r="40" spans="2:8" x14ac:dyDescent="0.35">
      <c r="B40">
        <v>64497</v>
      </c>
      <c r="C40" s="1">
        <v>45757</v>
      </c>
      <c r="D40" t="s">
        <v>8</v>
      </c>
      <c r="E40" t="s">
        <v>105</v>
      </c>
      <c r="F40" t="s">
        <v>12</v>
      </c>
      <c r="G40" t="s">
        <v>22</v>
      </c>
      <c r="H40" s="2" t="s">
        <v>77</v>
      </c>
    </row>
    <row r="41" spans="2:8" x14ac:dyDescent="0.35">
      <c r="B41">
        <v>64733</v>
      </c>
      <c r="C41" s="1">
        <v>45757</v>
      </c>
      <c r="D41" t="s">
        <v>8</v>
      </c>
      <c r="E41" t="s">
        <v>105</v>
      </c>
      <c r="F41" t="s">
        <v>12</v>
      </c>
      <c r="G41" t="s">
        <v>22</v>
      </c>
      <c r="H41" s="2" t="s">
        <v>77</v>
      </c>
    </row>
    <row r="42" spans="2:8" x14ac:dyDescent="0.35">
      <c r="B42">
        <v>65246</v>
      </c>
      <c r="C42" s="1">
        <v>45757</v>
      </c>
      <c r="D42" t="s">
        <v>8</v>
      </c>
      <c r="E42" t="s">
        <v>105</v>
      </c>
      <c r="F42" t="s">
        <v>12</v>
      </c>
      <c r="G42" t="s">
        <v>22</v>
      </c>
      <c r="H42" s="2" t="s">
        <v>77</v>
      </c>
    </row>
    <row r="43" spans="2:8" x14ac:dyDescent="0.35">
      <c r="B43">
        <v>62923</v>
      </c>
      <c r="C43" s="1">
        <v>45769</v>
      </c>
      <c r="D43" t="s">
        <v>6</v>
      </c>
      <c r="E43" t="s">
        <v>104</v>
      </c>
      <c r="F43" t="s">
        <v>12</v>
      </c>
      <c r="G43" t="s">
        <v>14</v>
      </c>
      <c r="H43" s="2" t="s">
        <v>77</v>
      </c>
    </row>
    <row r="44" spans="2:8" x14ac:dyDescent="0.35">
      <c r="B44">
        <v>63858</v>
      </c>
      <c r="C44" s="1">
        <v>45769</v>
      </c>
      <c r="D44" t="s">
        <v>10</v>
      </c>
      <c r="E44" t="s">
        <v>105</v>
      </c>
      <c r="F44" t="s">
        <v>12</v>
      </c>
      <c r="G44" t="s">
        <v>21</v>
      </c>
      <c r="H44" s="2" t="s">
        <v>77</v>
      </c>
    </row>
    <row r="45" spans="2:8" x14ac:dyDescent="0.35">
      <c r="B45">
        <v>63439</v>
      </c>
      <c r="C45" s="1">
        <v>45770</v>
      </c>
      <c r="D45" t="s">
        <v>7</v>
      </c>
      <c r="E45" t="s">
        <v>104</v>
      </c>
      <c r="F45" t="s">
        <v>12</v>
      </c>
      <c r="G45" t="s">
        <v>25</v>
      </c>
      <c r="H45" s="2" t="s">
        <v>41</v>
      </c>
    </row>
    <row r="46" spans="2:8" x14ac:dyDescent="0.35">
      <c r="B46">
        <v>61353</v>
      </c>
      <c r="C46" s="1">
        <v>45776</v>
      </c>
      <c r="D46" t="s">
        <v>7</v>
      </c>
      <c r="E46" t="s">
        <v>104</v>
      </c>
      <c r="F46" t="s">
        <v>12</v>
      </c>
      <c r="G46" t="s">
        <v>18</v>
      </c>
      <c r="H46" s="2" t="s">
        <v>77</v>
      </c>
    </row>
    <row r="47" spans="2:8" x14ac:dyDescent="0.35">
      <c r="B47">
        <v>63557</v>
      </c>
      <c r="C47" s="1">
        <v>45776</v>
      </c>
      <c r="D47" t="s">
        <v>7</v>
      </c>
      <c r="E47" t="s">
        <v>104</v>
      </c>
      <c r="F47" t="s">
        <v>12</v>
      </c>
      <c r="G47" t="s">
        <v>18</v>
      </c>
      <c r="H47" s="2" t="s">
        <v>77</v>
      </c>
    </row>
    <row r="48" spans="2:8" x14ac:dyDescent="0.35">
      <c r="B48">
        <v>63601</v>
      </c>
      <c r="C48" s="1">
        <v>45782</v>
      </c>
      <c r="D48" t="s">
        <v>7</v>
      </c>
      <c r="E48" t="s">
        <v>104</v>
      </c>
      <c r="F48" t="s">
        <v>12</v>
      </c>
      <c r="G48" t="s">
        <v>15</v>
      </c>
      <c r="H48" s="2" t="s">
        <v>77</v>
      </c>
    </row>
    <row r="49" spans="2:8" x14ac:dyDescent="0.35">
      <c r="B49">
        <v>62115</v>
      </c>
      <c r="C49" s="1">
        <v>45786</v>
      </c>
      <c r="D49" t="s">
        <v>9</v>
      </c>
      <c r="E49" t="s">
        <v>105</v>
      </c>
      <c r="F49" t="s">
        <v>12</v>
      </c>
      <c r="G49" t="s">
        <v>26</v>
      </c>
      <c r="H49" s="2" t="s">
        <v>38</v>
      </c>
    </row>
    <row r="50" spans="2:8" x14ac:dyDescent="0.35">
      <c r="B50">
        <v>62203</v>
      </c>
      <c r="C50" s="1">
        <v>45786</v>
      </c>
      <c r="D50" t="s">
        <v>9</v>
      </c>
      <c r="E50" t="s">
        <v>105</v>
      </c>
      <c r="F50" t="s">
        <v>12</v>
      </c>
      <c r="G50" t="s">
        <v>20</v>
      </c>
      <c r="H50" s="2" t="s">
        <v>38</v>
      </c>
    </row>
    <row r="51" spans="2:8" x14ac:dyDescent="0.35">
      <c r="B51">
        <v>63599</v>
      </c>
      <c r="C51" s="1">
        <v>45786</v>
      </c>
      <c r="D51" t="s">
        <v>7</v>
      </c>
      <c r="E51" t="s">
        <v>104</v>
      </c>
      <c r="F51" t="s">
        <v>12</v>
      </c>
      <c r="G51" t="s">
        <v>23</v>
      </c>
      <c r="H51" s="2" t="s">
        <v>42</v>
      </c>
    </row>
    <row r="52" spans="2:8" x14ac:dyDescent="0.35">
      <c r="B52">
        <v>64125</v>
      </c>
      <c r="C52" s="1">
        <v>45786</v>
      </c>
      <c r="D52" t="s">
        <v>10</v>
      </c>
      <c r="E52" t="s">
        <v>105</v>
      </c>
      <c r="F52" t="s">
        <v>12</v>
      </c>
      <c r="G52" t="s">
        <v>21</v>
      </c>
      <c r="H52" s="2" t="s">
        <v>38</v>
      </c>
    </row>
    <row r="53" spans="2:8" x14ac:dyDescent="0.35">
      <c r="B53">
        <v>64128</v>
      </c>
      <c r="C53" s="1">
        <v>45786</v>
      </c>
      <c r="D53" t="s">
        <v>10</v>
      </c>
      <c r="E53" t="s">
        <v>105</v>
      </c>
      <c r="F53" t="s">
        <v>13</v>
      </c>
      <c r="G53" t="s">
        <v>21</v>
      </c>
      <c r="H53" s="2" t="s">
        <v>43</v>
      </c>
    </row>
    <row r="54" spans="2:8" x14ac:dyDescent="0.35">
      <c r="B54">
        <v>61497</v>
      </c>
      <c r="C54" s="1">
        <v>45797</v>
      </c>
      <c r="D54" t="s">
        <v>7</v>
      </c>
      <c r="E54" t="s">
        <v>104</v>
      </c>
      <c r="F54" t="s">
        <v>12</v>
      </c>
      <c r="G54" t="s">
        <v>15</v>
      </c>
      <c r="H54" s="2" t="s">
        <v>38</v>
      </c>
    </row>
    <row r="55" spans="2:8" x14ac:dyDescent="0.35">
      <c r="B55">
        <v>64526</v>
      </c>
      <c r="C55" s="1">
        <v>45799</v>
      </c>
      <c r="D55" t="s">
        <v>7</v>
      </c>
      <c r="E55" t="s">
        <v>104</v>
      </c>
      <c r="F55" t="s">
        <v>13</v>
      </c>
      <c r="G55" t="s">
        <v>18</v>
      </c>
      <c r="H55" s="2" t="s">
        <v>44</v>
      </c>
    </row>
    <row r="56" spans="2:8" x14ac:dyDescent="0.35">
      <c r="B56">
        <v>60131</v>
      </c>
      <c r="C56" s="1">
        <v>45800</v>
      </c>
      <c r="D56" t="s">
        <v>9</v>
      </c>
      <c r="E56" t="s">
        <v>105</v>
      </c>
      <c r="F56" t="s">
        <v>12</v>
      </c>
      <c r="G56" t="s">
        <v>20</v>
      </c>
      <c r="H56" s="2" t="s">
        <v>38</v>
      </c>
    </row>
    <row r="57" spans="2:8" x14ac:dyDescent="0.35">
      <c r="B57">
        <v>65418</v>
      </c>
      <c r="C57" s="1">
        <v>45803</v>
      </c>
      <c r="D57" t="s">
        <v>9</v>
      </c>
      <c r="E57" t="s">
        <v>105</v>
      </c>
      <c r="F57" t="s">
        <v>12</v>
      </c>
      <c r="G57" t="s">
        <v>19</v>
      </c>
      <c r="H57" s="2" t="s">
        <v>44</v>
      </c>
    </row>
    <row r="58" spans="2:8" x14ac:dyDescent="0.35">
      <c r="B58">
        <v>61358</v>
      </c>
      <c r="C58" s="1">
        <v>45803</v>
      </c>
      <c r="D58" t="s">
        <v>8</v>
      </c>
      <c r="E58" t="s">
        <v>105</v>
      </c>
      <c r="F58" t="s">
        <v>12</v>
      </c>
      <c r="G58" t="s">
        <v>27</v>
      </c>
      <c r="H58" s="3" t="s">
        <v>45</v>
      </c>
    </row>
    <row r="59" spans="2:8" x14ac:dyDescent="0.35">
      <c r="B59">
        <v>62837</v>
      </c>
      <c r="C59" s="1">
        <v>45803</v>
      </c>
      <c r="D59" t="s">
        <v>8</v>
      </c>
      <c r="E59" t="s">
        <v>105</v>
      </c>
      <c r="F59" t="s">
        <v>12</v>
      </c>
      <c r="G59" t="s">
        <v>27</v>
      </c>
      <c r="H59" s="2" t="s">
        <v>77</v>
      </c>
    </row>
    <row r="60" spans="2:8" x14ac:dyDescent="0.35">
      <c r="B60">
        <v>61664</v>
      </c>
      <c r="C60" s="1">
        <v>45804</v>
      </c>
      <c r="D60" t="s">
        <v>7</v>
      </c>
      <c r="E60" t="s">
        <v>104</v>
      </c>
      <c r="F60" t="s">
        <v>12</v>
      </c>
      <c r="G60" t="s">
        <v>18</v>
      </c>
      <c r="H60" s="2" t="s">
        <v>77</v>
      </c>
    </row>
    <row r="61" spans="2:8" x14ac:dyDescent="0.35">
      <c r="B61">
        <v>63065</v>
      </c>
      <c r="C61" s="1">
        <v>45810</v>
      </c>
      <c r="D61" t="s">
        <v>6</v>
      </c>
      <c r="E61" t="s">
        <v>104</v>
      </c>
      <c r="F61" t="s">
        <v>12</v>
      </c>
      <c r="G61" t="s">
        <v>14</v>
      </c>
      <c r="H61" s="2" t="s">
        <v>77</v>
      </c>
    </row>
    <row r="62" spans="2:8" x14ac:dyDescent="0.35">
      <c r="B62">
        <v>63663</v>
      </c>
      <c r="C62" s="1">
        <v>45810</v>
      </c>
      <c r="D62" t="s">
        <v>9</v>
      </c>
      <c r="E62" t="s">
        <v>105</v>
      </c>
      <c r="F62" t="s">
        <v>12</v>
      </c>
      <c r="G62" t="s">
        <v>17</v>
      </c>
      <c r="H62" s="2" t="s">
        <v>77</v>
      </c>
    </row>
    <row r="63" spans="2:8" x14ac:dyDescent="0.35">
      <c r="B63">
        <v>61048</v>
      </c>
      <c r="C63" s="1">
        <v>45813</v>
      </c>
      <c r="D63" t="s">
        <v>7</v>
      </c>
      <c r="E63" t="s">
        <v>104</v>
      </c>
      <c r="F63" t="s">
        <v>12</v>
      </c>
      <c r="G63" t="s">
        <v>15</v>
      </c>
      <c r="H63" s="2" t="s">
        <v>46</v>
      </c>
    </row>
    <row r="64" spans="2:8" x14ac:dyDescent="0.35">
      <c r="B64">
        <v>63513</v>
      </c>
      <c r="C64" s="1">
        <v>45814</v>
      </c>
      <c r="D64" t="s">
        <v>9</v>
      </c>
      <c r="E64" t="s">
        <v>105</v>
      </c>
      <c r="F64" t="s">
        <v>12</v>
      </c>
      <c r="G64" t="s">
        <v>19</v>
      </c>
      <c r="H64" s="2" t="s">
        <v>38</v>
      </c>
    </row>
    <row r="65" spans="2:8" x14ac:dyDescent="0.35">
      <c r="B65">
        <v>65477</v>
      </c>
      <c r="C65" s="1">
        <v>45819</v>
      </c>
      <c r="D65" t="s">
        <v>11</v>
      </c>
      <c r="E65" t="s">
        <v>104</v>
      </c>
      <c r="F65" t="s">
        <v>13</v>
      </c>
      <c r="G65" t="s">
        <v>28</v>
      </c>
      <c r="H65" s="2" t="s">
        <v>77</v>
      </c>
    </row>
    <row r="66" spans="2:8" x14ac:dyDescent="0.35">
      <c r="B66">
        <v>65453</v>
      </c>
      <c r="C66" s="1">
        <v>45820</v>
      </c>
      <c r="D66" t="s">
        <v>7</v>
      </c>
      <c r="E66" t="s">
        <v>104</v>
      </c>
      <c r="F66" t="s">
        <v>12</v>
      </c>
      <c r="G66" t="s">
        <v>15</v>
      </c>
      <c r="H66" s="2" t="s">
        <v>47</v>
      </c>
    </row>
    <row r="67" spans="2:8" x14ac:dyDescent="0.35">
      <c r="B67">
        <v>60525</v>
      </c>
      <c r="C67" s="1">
        <v>45825</v>
      </c>
      <c r="D67" t="s">
        <v>9</v>
      </c>
      <c r="E67" t="s">
        <v>105</v>
      </c>
      <c r="F67" t="s">
        <v>12</v>
      </c>
      <c r="G67" t="s">
        <v>17</v>
      </c>
      <c r="H67" s="2" t="s">
        <v>77</v>
      </c>
    </row>
    <row r="68" spans="2:8" x14ac:dyDescent="0.35">
      <c r="B68">
        <v>60720</v>
      </c>
      <c r="C68" s="1">
        <v>45832</v>
      </c>
      <c r="D68" t="s">
        <v>9</v>
      </c>
      <c r="E68" t="s">
        <v>105</v>
      </c>
      <c r="F68" t="s">
        <v>12</v>
      </c>
      <c r="G68" t="s">
        <v>19</v>
      </c>
      <c r="H68" s="2" t="s">
        <v>38</v>
      </c>
    </row>
    <row r="69" spans="2:8" x14ac:dyDescent="0.35">
      <c r="B69">
        <v>60895</v>
      </c>
      <c r="C69" s="1">
        <v>45832</v>
      </c>
      <c r="D69" t="s">
        <v>11</v>
      </c>
      <c r="E69" t="s">
        <v>104</v>
      </c>
      <c r="F69" t="s">
        <v>12</v>
      </c>
      <c r="G69" t="s">
        <v>24</v>
      </c>
      <c r="H69" s="2" t="s">
        <v>38</v>
      </c>
    </row>
    <row r="70" spans="2:8" x14ac:dyDescent="0.35">
      <c r="B70">
        <v>63686</v>
      </c>
      <c r="C70" s="1">
        <v>45841</v>
      </c>
      <c r="D70" t="s">
        <v>8</v>
      </c>
      <c r="E70" t="s">
        <v>105</v>
      </c>
      <c r="F70" t="s">
        <v>12</v>
      </c>
      <c r="G70" t="s">
        <v>27</v>
      </c>
      <c r="H70" s="2" t="s">
        <v>38</v>
      </c>
    </row>
    <row r="71" spans="2:8" x14ac:dyDescent="0.35">
      <c r="B71">
        <v>60670</v>
      </c>
      <c r="C71" s="1">
        <v>45841</v>
      </c>
      <c r="D71" t="s">
        <v>9</v>
      </c>
      <c r="E71" t="s">
        <v>105</v>
      </c>
      <c r="F71" t="s">
        <v>12</v>
      </c>
      <c r="G71" t="s">
        <v>19</v>
      </c>
      <c r="H71" s="2" t="s">
        <v>47</v>
      </c>
    </row>
    <row r="72" spans="2:8" x14ac:dyDescent="0.35">
      <c r="B72">
        <v>60104</v>
      </c>
      <c r="C72" s="1">
        <v>45842</v>
      </c>
      <c r="D72" t="s">
        <v>9</v>
      </c>
      <c r="E72" t="s">
        <v>105</v>
      </c>
      <c r="F72" t="s">
        <v>12</v>
      </c>
      <c r="G72" t="s">
        <v>20</v>
      </c>
      <c r="H72" s="2" t="s">
        <v>48</v>
      </c>
    </row>
    <row r="73" spans="2:8" x14ac:dyDescent="0.35">
      <c r="B73">
        <v>62182</v>
      </c>
      <c r="C73" s="1">
        <v>45842</v>
      </c>
      <c r="D73" t="s">
        <v>11</v>
      </c>
      <c r="E73" t="s">
        <v>104</v>
      </c>
      <c r="F73" t="s">
        <v>12</v>
      </c>
      <c r="G73" t="s">
        <v>29</v>
      </c>
      <c r="H73" s="2" t="s">
        <v>48</v>
      </c>
    </row>
    <row r="74" spans="2:8" x14ac:dyDescent="0.35">
      <c r="B74">
        <v>62242</v>
      </c>
      <c r="C74" s="1">
        <v>45842</v>
      </c>
      <c r="D74" t="s">
        <v>9</v>
      </c>
      <c r="E74" t="s">
        <v>105</v>
      </c>
      <c r="F74" t="s">
        <v>12</v>
      </c>
      <c r="G74" t="s">
        <v>20</v>
      </c>
      <c r="H74" s="2" t="s">
        <v>48</v>
      </c>
    </row>
    <row r="75" spans="2:8" x14ac:dyDescent="0.35">
      <c r="B75">
        <v>63464</v>
      </c>
      <c r="C75" s="1">
        <v>45842</v>
      </c>
      <c r="D75" t="s">
        <v>9</v>
      </c>
      <c r="E75" t="s">
        <v>105</v>
      </c>
      <c r="F75" t="s">
        <v>12</v>
      </c>
      <c r="G75" t="s">
        <v>19</v>
      </c>
      <c r="H75" s="2" t="s">
        <v>38</v>
      </c>
    </row>
    <row r="76" spans="2:8" x14ac:dyDescent="0.35">
      <c r="B76">
        <v>65025</v>
      </c>
      <c r="C76" s="1">
        <v>45846</v>
      </c>
      <c r="D76" t="s">
        <v>10</v>
      </c>
      <c r="E76" t="s">
        <v>105</v>
      </c>
      <c r="F76" t="s">
        <v>12</v>
      </c>
      <c r="G76" t="s">
        <v>21</v>
      </c>
      <c r="H76" s="2" t="s">
        <v>77</v>
      </c>
    </row>
    <row r="77" spans="2:8" x14ac:dyDescent="0.35">
      <c r="B77">
        <v>64807</v>
      </c>
      <c r="C77" s="1">
        <v>45846</v>
      </c>
      <c r="D77" t="s">
        <v>10</v>
      </c>
      <c r="E77" t="s">
        <v>105</v>
      </c>
      <c r="F77" t="s">
        <v>12</v>
      </c>
      <c r="G77" t="s">
        <v>21</v>
      </c>
      <c r="H77" s="2" t="s">
        <v>77</v>
      </c>
    </row>
    <row r="78" spans="2:8" x14ac:dyDescent="0.35">
      <c r="B78">
        <v>63553</v>
      </c>
      <c r="C78" s="1">
        <v>45846</v>
      </c>
      <c r="D78" t="s">
        <v>9</v>
      </c>
      <c r="E78" t="s">
        <v>105</v>
      </c>
      <c r="F78" t="s">
        <v>12</v>
      </c>
      <c r="G78" t="s">
        <v>19</v>
      </c>
      <c r="H78" s="2" t="s">
        <v>38</v>
      </c>
    </row>
    <row r="79" spans="2:8" x14ac:dyDescent="0.35">
      <c r="B79">
        <v>62563</v>
      </c>
      <c r="C79" s="1">
        <v>45846</v>
      </c>
      <c r="D79" t="s">
        <v>11</v>
      </c>
      <c r="E79" t="s">
        <v>104</v>
      </c>
      <c r="F79" t="s">
        <v>12</v>
      </c>
      <c r="G79" t="s">
        <v>24</v>
      </c>
      <c r="H79" s="2" t="s">
        <v>77</v>
      </c>
    </row>
    <row r="80" spans="2:8" x14ac:dyDescent="0.35">
      <c r="B80">
        <v>61335</v>
      </c>
      <c r="C80" s="1">
        <v>45846</v>
      </c>
      <c r="D80" t="s">
        <v>7</v>
      </c>
      <c r="E80" t="s">
        <v>104</v>
      </c>
      <c r="F80" t="s">
        <v>13</v>
      </c>
      <c r="G80" t="s">
        <v>23</v>
      </c>
      <c r="H80" s="2" t="s">
        <v>77</v>
      </c>
    </row>
    <row r="81" spans="2:8" x14ac:dyDescent="0.35">
      <c r="B81">
        <v>60148</v>
      </c>
      <c r="C81" s="1">
        <v>45848</v>
      </c>
      <c r="D81" t="s">
        <v>9</v>
      </c>
      <c r="E81" t="s">
        <v>105</v>
      </c>
      <c r="F81" t="s">
        <v>12</v>
      </c>
      <c r="G81" t="s">
        <v>19</v>
      </c>
      <c r="H81" s="2" t="s">
        <v>77</v>
      </c>
    </row>
    <row r="82" spans="2:8" x14ac:dyDescent="0.35">
      <c r="B82">
        <v>64122</v>
      </c>
      <c r="C82" s="1">
        <v>45848</v>
      </c>
      <c r="D82" t="s">
        <v>8</v>
      </c>
      <c r="E82" t="s">
        <v>105</v>
      </c>
      <c r="F82" t="s">
        <v>12</v>
      </c>
      <c r="G82" t="s">
        <v>16</v>
      </c>
      <c r="H82" s="2" t="s">
        <v>77</v>
      </c>
    </row>
    <row r="83" spans="2:8" x14ac:dyDescent="0.35">
      <c r="B83">
        <v>66621</v>
      </c>
      <c r="C83" s="1">
        <v>45854</v>
      </c>
      <c r="D83" t="s">
        <v>11</v>
      </c>
      <c r="E83" t="s">
        <v>104</v>
      </c>
      <c r="F83" t="s">
        <v>12</v>
      </c>
      <c r="G83" t="s">
        <v>24</v>
      </c>
      <c r="H83" s="2" t="s">
        <v>38</v>
      </c>
    </row>
    <row r="84" spans="2:8" x14ac:dyDescent="0.35">
      <c r="B84">
        <v>63850</v>
      </c>
      <c r="C84" s="1">
        <v>45854</v>
      </c>
      <c r="D84" t="s">
        <v>8</v>
      </c>
      <c r="E84" t="s">
        <v>105</v>
      </c>
      <c r="F84" t="s">
        <v>12</v>
      </c>
      <c r="G84" t="s">
        <v>22</v>
      </c>
      <c r="H84" s="2" t="s">
        <v>49</v>
      </c>
    </row>
    <row r="85" spans="2:8" x14ac:dyDescent="0.35">
      <c r="B85">
        <v>65298</v>
      </c>
      <c r="C85" s="1">
        <v>45854</v>
      </c>
      <c r="D85" t="s">
        <v>8</v>
      </c>
      <c r="E85" t="s">
        <v>105</v>
      </c>
      <c r="F85" t="s">
        <v>12</v>
      </c>
      <c r="G85" t="s">
        <v>22</v>
      </c>
      <c r="H85" s="2" t="s">
        <v>50</v>
      </c>
    </row>
    <row r="86" spans="2:8" x14ac:dyDescent="0.35">
      <c r="B86">
        <v>67362</v>
      </c>
      <c r="C86" s="1">
        <v>45859</v>
      </c>
      <c r="D86" t="s">
        <v>8</v>
      </c>
      <c r="E86" t="s">
        <v>105</v>
      </c>
      <c r="F86" t="s">
        <v>12</v>
      </c>
      <c r="G86" t="s">
        <v>27</v>
      </c>
      <c r="H86" s="2" t="s">
        <v>51</v>
      </c>
    </row>
    <row r="87" spans="2:8" x14ac:dyDescent="0.35">
      <c r="B87">
        <v>61701</v>
      </c>
      <c r="C87" s="1">
        <v>45861</v>
      </c>
      <c r="D87" t="s">
        <v>8</v>
      </c>
      <c r="E87" t="s">
        <v>105</v>
      </c>
      <c r="F87" t="s">
        <v>12</v>
      </c>
      <c r="G87" t="s">
        <v>16</v>
      </c>
      <c r="H87" s="2" t="s">
        <v>52</v>
      </c>
    </row>
    <row r="88" spans="2:8" x14ac:dyDescent="0.35">
      <c r="B88">
        <v>62246</v>
      </c>
      <c r="C88" s="1">
        <v>45861</v>
      </c>
      <c r="D88" t="s">
        <v>11</v>
      </c>
      <c r="E88" t="s">
        <v>104</v>
      </c>
      <c r="F88" t="s">
        <v>12</v>
      </c>
      <c r="G88" t="s">
        <v>24</v>
      </c>
      <c r="H88" s="2" t="s">
        <v>77</v>
      </c>
    </row>
    <row r="89" spans="2:8" x14ac:dyDescent="0.35">
      <c r="B89">
        <v>64866</v>
      </c>
      <c r="C89" s="1">
        <v>45861</v>
      </c>
      <c r="D89" t="s">
        <v>7</v>
      </c>
      <c r="E89" t="s">
        <v>104</v>
      </c>
      <c r="F89" t="s">
        <v>12</v>
      </c>
      <c r="G89" t="s">
        <v>18</v>
      </c>
      <c r="H89" s="2" t="s">
        <v>77</v>
      </c>
    </row>
    <row r="90" spans="2:8" x14ac:dyDescent="0.35">
      <c r="B90">
        <v>63888</v>
      </c>
      <c r="C90" s="1">
        <v>45861</v>
      </c>
      <c r="D90" t="s">
        <v>7</v>
      </c>
      <c r="E90" t="s">
        <v>104</v>
      </c>
      <c r="F90" t="s">
        <v>12</v>
      </c>
      <c r="G90" t="s">
        <v>23</v>
      </c>
      <c r="H90" s="2" t="s">
        <v>77</v>
      </c>
    </row>
    <row r="91" spans="2:8" x14ac:dyDescent="0.35">
      <c r="B91">
        <v>64035</v>
      </c>
      <c r="C91" s="1">
        <v>45867</v>
      </c>
      <c r="D91" t="s">
        <v>6</v>
      </c>
      <c r="E91" t="s">
        <v>104</v>
      </c>
      <c r="F91" t="s">
        <v>12</v>
      </c>
      <c r="G91" t="s">
        <v>14</v>
      </c>
      <c r="H91" s="2" t="s">
        <v>53</v>
      </c>
    </row>
    <row r="92" spans="2:8" x14ac:dyDescent="0.35">
      <c r="B92">
        <v>61503</v>
      </c>
      <c r="C92" s="1">
        <v>45870</v>
      </c>
      <c r="D92" t="s">
        <v>7</v>
      </c>
      <c r="E92" t="s">
        <v>104</v>
      </c>
      <c r="F92" t="s">
        <v>12</v>
      </c>
      <c r="G92" t="s">
        <v>18</v>
      </c>
      <c r="H92" s="2" t="s">
        <v>77</v>
      </c>
    </row>
    <row r="93" spans="2:8" x14ac:dyDescent="0.35">
      <c r="B93">
        <v>62920</v>
      </c>
      <c r="C93" s="1">
        <v>45873</v>
      </c>
      <c r="D93" t="s">
        <v>7</v>
      </c>
      <c r="E93" t="s">
        <v>104</v>
      </c>
      <c r="F93" t="s">
        <v>12</v>
      </c>
      <c r="G93" t="s">
        <v>23</v>
      </c>
      <c r="H93" s="2" t="s">
        <v>77</v>
      </c>
    </row>
    <row r="94" spans="2:8" x14ac:dyDescent="0.35">
      <c r="B94">
        <v>60616</v>
      </c>
      <c r="C94" s="1">
        <v>45874</v>
      </c>
      <c r="D94" t="s">
        <v>9</v>
      </c>
      <c r="E94" t="s">
        <v>105</v>
      </c>
      <c r="F94" t="s">
        <v>12</v>
      </c>
      <c r="G94" t="s">
        <v>19</v>
      </c>
      <c r="H94" s="2" t="s">
        <v>38</v>
      </c>
    </row>
    <row r="95" spans="2:8" x14ac:dyDescent="0.35">
      <c r="B95">
        <v>63207</v>
      </c>
      <c r="C95" s="1">
        <v>45874</v>
      </c>
      <c r="D95" t="s">
        <v>9</v>
      </c>
      <c r="E95" t="s">
        <v>105</v>
      </c>
      <c r="F95" t="s">
        <v>12</v>
      </c>
      <c r="G95" t="s">
        <v>19</v>
      </c>
      <c r="H95" s="2" t="s">
        <v>38</v>
      </c>
    </row>
    <row r="96" spans="2:8" x14ac:dyDescent="0.35">
      <c r="B96">
        <v>65374</v>
      </c>
      <c r="C96" s="1">
        <v>45874</v>
      </c>
      <c r="D96" t="s">
        <v>9</v>
      </c>
      <c r="E96" t="s">
        <v>105</v>
      </c>
      <c r="F96" t="s">
        <v>12</v>
      </c>
      <c r="G96" t="s">
        <v>19</v>
      </c>
      <c r="H96" s="2" t="s">
        <v>53</v>
      </c>
    </row>
    <row r="97" spans="2:8" x14ac:dyDescent="0.35">
      <c r="B97">
        <v>61383</v>
      </c>
      <c r="C97" s="1">
        <v>45875</v>
      </c>
      <c r="D97" t="s">
        <v>7</v>
      </c>
      <c r="E97" t="s">
        <v>104</v>
      </c>
      <c r="F97" t="s">
        <v>12</v>
      </c>
      <c r="G97" t="s">
        <v>23</v>
      </c>
      <c r="H97" s="2" t="s">
        <v>54</v>
      </c>
    </row>
    <row r="98" spans="2:8" x14ac:dyDescent="0.35">
      <c r="B98">
        <v>63024</v>
      </c>
      <c r="C98" s="1">
        <v>45875</v>
      </c>
      <c r="D98" t="s">
        <v>9</v>
      </c>
      <c r="E98" t="s">
        <v>105</v>
      </c>
      <c r="F98" t="s">
        <v>12</v>
      </c>
      <c r="G98" t="s">
        <v>26</v>
      </c>
      <c r="H98" s="2" t="s">
        <v>55</v>
      </c>
    </row>
    <row r="99" spans="2:8" x14ac:dyDescent="0.35">
      <c r="B99">
        <v>65139</v>
      </c>
      <c r="C99" s="1">
        <v>45875</v>
      </c>
      <c r="D99" t="s">
        <v>8</v>
      </c>
      <c r="E99" t="s">
        <v>105</v>
      </c>
      <c r="F99" t="s">
        <v>12</v>
      </c>
      <c r="G99" t="s">
        <v>16</v>
      </c>
      <c r="H99" s="2" t="s">
        <v>56</v>
      </c>
    </row>
    <row r="100" spans="2:8" x14ac:dyDescent="0.35">
      <c r="B100">
        <v>66967</v>
      </c>
      <c r="C100" s="1">
        <v>45875</v>
      </c>
      <c r="D100" t="s">
        <v>7</v>
      </c>
      <c r="E100" t="s">
        <v>104</v>
      </c>
      <c r="F100" t="s">
        <v>12</v>
      </c>
      <c r="G100" t="s">
        <v>23</v>
      </c>
      <c r="H100" s="2" t="s">
        <v>38</v>
      </c>
    </row>
    <row r="101" spans="2:8" x14ac:dyDescent="0.35">
      <c r="B101">
        <v>61274</v>
      </c>
      <c r="C101" s="1">
        <v>45875</v>
      </c>
      <c r="D101" t="s">
        <v>7</v>
      </c>
      <c r="E101" t="s">
        <v>104</v>
      </c>
      <c r="F101" t="s">
        <v>12</v>
      </c>
      <c r="G101" t="s">
        <v>18</v>
      </c>
      <c r="H101" s="2" t="s">
        <v>38</v>
      </c>
    </row>
    <row r="102" spans="2:8" x14ac:dyDescent="0.35">
      <c r="B102">
        <v>65619</v>
      </c>
      <c r="C102" s="1">
        <v>45882</v>
      </c>
      <c r="D102" t="s">
        <v>8</v>
      </c>
      <c r="E102" t="s">
        <v>105</v>
      </c>
      <c r="F102" t="s">
        <v>12</v>
      </c>
      <c r="G102" t="s">
        <v>22</v>
      </c>
      <c r="H102" s="2" t="s">
        <v>57</v>
      </c>
    </row>
    <row r="103" spans="2:8" x14ac:dyDescent="0.35">
      <c r="B103">
        <v>60978</v>
      </c>
      <c r="C103" s="1">
        <v>45882</v>
      </c>
      <c r="D103" t="s">
        <v>9</v>
      </c>
      <c r="E103" t="s">
        <v>105</v>
      </c>
      <c r="F103" t="s">
        <v>12</v>
      </c>
      <c r="G103" t="s">
        <v>19</v>
      </c>
      <c r="H103" s="2" t="s">
        <v>56</v>
      </c>
    </row>
    <row r="104" spans="2:8" x14ac:dyDescent="0.35">
      <c r="B104">
        <v>64596</v>
      </c>
      <c r="C104" s="1">
        <v>45882</v>
      </c>
      <c r="D104" t="s">
        <v>9</v>
      </c>
      <c r="E104" t="s">
        <v>105</v>
      </c>
      <c r="F104" t="s">
        <v>12</v>
      </c>
      <c r="G104" t="s">
        <v>19</v>
      </c>
      <c r="H104" s="2" t="s">
        <v>58</v>
      </c>
    </row>
    <row r="105" spans="2:8" x14ac:dyDescent="0.35">
      <c r="B105">
        <v>62323</v>
      </c>
      <c r="C105" s="1">
        <v>45882</v>
      </c>
      <c r="D105" t="s">
        <v>9</v>
      </c>
      <c r="E105" t="s">
        <v>105</v>
      </c>
      <c r="F105" t="s">
        <v>12</v>
      </c>
      <c r="G105" t="s">
        <v>19</v>
      </c>
      <c r="H105" s="2" t="s">
        <v>38</v>
      </c>
    </row>
    <row r="106" spans="2:8" x14ac:dyDescent="0.35">
      <c r="B106">
        <v>66325</v>
      </c>
      <c r="C106" s="1">
        <v>45882</v>
      </c>
      <c r="D106" t="s">
        <v>9</v>
      </c>
      <c r="E106" t="s">
        <v>105</v>
      </c>
      <c r="F106" t="s">
        <v>12</v>
      </c>
      <c r="G106" t="s">
        <v>19</v>
      </c>
      <c r="H106" s="2" t="s">
        <v>38</v>
      </c>
    </row>
    <row r="107" spans="2:8" x14ac:dyDescent="0.35">
      <c r="B107">
        <v>62899</v>
      </c>
      <c r="C107" s="1">
        <v>45882</v>
      </c>
      <c r="D107" t="s">
        <v>6</v>
      </c>
      <c r="E107" t="s">
        <v>104</v>
      </c>
      <c r="F107" t="s">
        <v>12</v>
      </c>
      <c r="G107" t="s">
        <v>14</v>
      </c>
      <c r="H107" s="2" t="s">
        <v>38</v>
      </c>
    </row>
    <row r="108" spans="2:8" x14ac:dyDescent="0.35">
      <c r="B108">
        <v>63424</v>
      </c>
      <c r="C108" s="1">
        <v>45882</v>
      </c>
      <c r="D108" t="s">
        <v>6</v>
      </c>
      <c r="E108" t="s">
        <v>104</v>
      </c>
      <c r="F108" t="s">
        <v>12</v>
      </c>
      <c r="G108" t="s">
        <v>14</v>
      </c>
      <c r="H108" s="2" t="s">
        <v>38</v>
      </c>
    </row>
    <row r="109" spans="2:8" x14ac:dyDescent="0.35">
      <c r="B109">
        <v>64634</v>
      </c>
      <c r="C109" s="1">
        <v>45882</v>
      </c>
      <c r="D109" t="s">
        <v>6</v>
      </c>
      <c r="E109" t="s">
        <v>104</v>
      </c>
      <c r="F109" t="s">
        <v>12</v>
      </c>
      <c r="G109" t="s">
        <v>14</v>
      </c>
      <c r="H109" s="2" t="s">
        <v>38</v>
      </c>
    </row>
    <row r="110" spans="2:8" x14ac:dyDescent="0.35">
      <c r="B110">
        <v>65886</v>
      </c>
      <c r="C110" s="1">
        <v>45883</v>
      </c>
      <c r="D110" t="s">
        <v>11</v>
      </c>
      <c r="E110" t="s">
        <v>104</v>
      </c>
      <c r="F110" t="s">
        <v>12</v>
      </c>
      <c r="G110" t="s">
        <v>24</v>
      </c>
      <c r="H110" s="2" t="s">
        <v>38</v>
      </c>
    </row>
    <row r="111" spans="2:8" x14ac:dyDescent="0.35">
      <c r="B111">
        <v>62607</v>
      </c>
      <c r="C111" s="1">
        <v>45884</v>
      </c>
      <c r="D111" t="s">
        <v>11</v>
      </c>
      <c r="E111" t="s">
        <v>104</v>
      </c>
      <c r="F111" t="s">
        <v>12</v>
      </c>
      <c r="G111" t="s">
        <v>24</v>
      </c>
      <c r="H111" s="2" t="s">
        <v>38</v>
      </c>
    </row>
    <row r="112" spans="2:8" x14ac:dyDescent="0.35">
      <c r="B112">
        <v>64151</v>
      </c>
      <c r="C112" s="1">
        <v>45887</v>
      </c>
      <c r="D112" t="s">
        <v>7</v>
      </c>
      <c r="E112" t="s">
        <v>104</v>
      </c>
      <c r="F112" t="s">
        <v>12</v>
      </c>
      <c r="G112" t="s">
        <v>25</v>
      </c>
      <c r="H112" s="2" t="s">
        <v>59</v>
      </c>
    </row>
    <row r="113" spans="2:8" x14ac:dyDescent="0.35">
      <c r="B113">
        <v>61372</v>
      </c>
      <c r="C113" s="1">
        <v>45890</v>
      </c>
      <c r="D113" t="s">
        <v>7</v>
      </c>
      <c r="E113" t="s">
        <v>104</v>
      </c>
      <c r="F113" t="s">
        <v>12</v>
      </c>
      <c r="G113" t="s">
        <v>25</v>
      </c>
      <c r="H113" s="2" t="s">
        <v>38</v>
      </c>
    </row>
    <row r="114" spans="2:8" x14ac:dyDescent="0.35">
      <c r="B114">
        <v>65879</v>
      </c>
      <c r="C114" s="1">
        <v>45890</v>
      </c>
      <c r="D114" t="s">
        <v>11</v>
      </c>
      <c r="E114" t="s">
        <v>104</v>
      </c>
      <c r="F114" t="s">
        <v>12</v>
      </c>
      <c r="G114" t="s">
        <v>24</v>
      </c>
      <c r="H114" s="2" t="s">
        <v>60</v>
      </c>
    </row>
    <row r="115" spans="2:8" x14ac:dyDescent="0.35">
      <c r="B115">
        <v>60588</v>
      </c>
      <c r="C115" s="1">
        <v>45890</v>
      </c>
      <c r="D115" t="s">
        <v>11</v>
      </c>
      <c r="E115" t="s">
        <v>104</v>
      </c>
      <c r="F115" t="s">
        <v>13</v>
      </c>
      <c r="G115" t="s">
        <v>28</v>
      </c>
      <c r="H115" s="2" t="s">
        <v>61</v>
      </c>
    </row>
    <row r="116" spans="2:8" x14ac:dyDescent="0.35">
      <c r="B116">
        <v>60096</v>
      </c>
      <c r="C116" s="1">
        <v>45890</v>
      </c>
      <c r="D116" t="s">
        <v>9</v>
      </c>
      <c r="E116" t="s">
        <v>105</v>
      </c>
      <c r="F116" t="s">
        <v>12</v>
      </c>
      <c r="G116" t="s">
        <v>20</v>
      </c>
      <c r="H116" s="2" t="s">
        <v>38</v>
      </c>
    </row>
    <row r="117" spans="2:8" x14ac:dyDescent="0.35">
      <c r="B117">
        <v>60179</v>
      </c>
      <c r="C117" s="1">
        <v>45890</v>
      </c>
      <c r="D117" t="s">
        <v>9</v>
      </c>
      <c r="E117" t="s">
        <v>105</v>
      </c>
      <c r="F117" t="s">
        <v>12</v>
      </c>
      <c r="G117" t="s">
        <v>20</v>
      </c>
      <c r="H117" s="2" t="s">
        <v>38</v>
      </c>
    </row>
    <row r="118" spans="2:8" x14ac:dyDescent="0.35">
      <c r="B118">
        <v>60554</v>
      </c>
      <c r="C118" s="1">
        <v>45890</v>
      </c>
      <c r="D118" t="s">
        <v>11</v>
      </c>
      <c r="E118" t="s">
        <v>104</v>
      </c>
      <c r="F118" t="s">
        <v>12</v>
      </c>
      <c r="G118" t="s">
        <v>29</v>
      </c>
      <c r="H118" s="2" t="s">
        <v>38</v>
      </c>
    </row>
    <row r="119" spans="2:8" x14ac:dyDescent="0.35">
      <c r="B119">
        <v>60753</v>
      </c>
      <c r="C119" s="1">
        <v>45890</v>
      </c>
      <c r="D119" t="s">
        <v>11</v>
      </c>
      <c r="E119" t="s">
        <v>104</v>
      </c>
      <c r="F119" t="s">
        <v>12</v>
      </c>
      <c r="G119" t="s">
        <v>29</v>
      </c>
      <c r="H119" s="2" t="s">
        <v>38</v>
      </c>
    </row>
    <row r="120" spans="2:8" x14ac:dyDescent="0.35">
      <c r="B120">
        <v>62100</v>
      </c>
      <c r="C120" s="1">
        <v>45890</v>
      </c>
      <c r="D120" t="s">
        <v>11</v>
      </c>
      <c r="E120" t="s">
        <v>104</v>
      </c>
      <c r="F120" t="s">
        <v>12</v>
      </c>
      <c r="G120" t="s">
        <v>29</v>
      </c>
      <c r="H120" s="2" t="s">
        <v>38</v>
      </c>
    </row>
    <row r="121" spans="2:8" x14ac:dyDescent="0.35">
      <c r="B121">
        <v>63251</v>
      </c>
      <c r="C121" s="1">
        <v>45890</v>
      </c>
      <c r="D121" t="s">
        <v>11</v>
      </c>
      <c r="E121" t="s">
        <v>104</v>
      </c>
      <c r="F121" t="s">
        <v>12</v>
      </c>
      <c r="G121" t="s">
        <v>29</v>
      </c>
      <c r="H121" s="2" t="s">
        <v>38</v>
      </c>
    </row>
    <row r="122" spans="2:8" x14ac:dyDescent="0.35">
      <c r="B122">
        <v>62682</v>
      </c>
      <c r="C122" s="1">
        <v>45895</v>
      </c>
      <c r="D122" t="s">
        <v>11</v>
      </c>
      <c r="E122" t="s">
        <v>104</v>
      </c>
      <c r="F122" t="s">
        <v>13</v>
      </c>
      <c r="G122" t="s">
        <v>28</v>
      </c>
      <c r="H122" s="2" t="s">
        <v>38</v>
      </c>
    </row>
    <row r="123" spans="2:8" x14ac:dyDescent="0.35">
      <c r="B123">
        <v>65334</v>
      </c>
      <c r="C123" s="1">
        <v>45895</v>
      </c>
      <c r="D123" t="s">
        <v>11</v>
      </c>
      <c r="E123" t="s">
        <v>104</v>
      </c>
      <c r="F123" t="s">
        <v>13</v>
      </c>
      <c r="G123" t="s">
        <v>28</v>
      </c>
      <c r="H123" s="2" t="s">
        <v>60</v>
      </c>
    </row>
    <row r="124" spans="2:8" x14ac:dyDescent="0.35">
      <c r="B124">
        <v>65407</v>
      </c>
      <c r="C124" s="1">
        <v>45895</v>
      </c>
      <c r="D124" t="s">
        <v>8</v>
      </c>
      <c r="E124" t="s">
        <v>105</v>
      </c>
      <c r="F124" t="s">
        <v>12</v>
      </c>
      <c r="G124" t="s">
        <v>22</v>
      </c>
      <c r="H124" s="2" t="s">
        <v>60</v>
      </c>
    </row>
    <row r="125" spans="2:8" x14ac:dyDescent="0.35">
      <c r="B125">
        <v>65135</v>
      </c>
      <c r="C125" s="1">
        <v>45895</v>
      </c>
      <c r="D125" t="s">
        <v>7</v>
      </c>
      <c r="E125" t="s">
        <v>104</v>
      </c>
      <c r="F125" t="s">
        <v>12</v>
      </c>
      <c r="G125" t="s">
        <v>15</v>
      </c>
      <c r="H125" s="2" t="s">
        <v>62</v>
      </c>
    </row>
    <row r="126" spans="2:8" x14ac:dyDescent="0.35">
      <c r="B126">
        <v>61333</v>
      </c>
      <c r="C126" s="1">
        <v>45895</v>
      </c>
      <c r="D126" t="s">
        <v>9</v>
      </c>
      <c r="E126" t="s">
        <v>105</v>
      </c>
      <c r="F126" t="s">
        <v>12</v>
      </c>
      <c r="G126" t="s">
        <v>19</v>
      </c>
      <c r="H126" s="2" t="s">
        <v>38</v>
      </c>
    </row>
    <row r="127" spans="2:8" x14ac:dyDescent="0.35">
      <c r="B127">
        <v>67536</v>
      </c>
      <c r="C127" s="1">
        <v>45895</v>
      </c>
      <c r="D127" t="s">
        <v>9</v>
      </c>
      <c r="E127" t="s">
        <v>105</v>
      </c>
      <c r="F127" t="s">
        <v>12</v>
      </c>
      <c r="G127" t="s">
        <v>26</v>
      </c>
      <c r="H127" s="2" t="s">
        <v>63</v>
      </c>
    </row>
    <row r="128" spans="2:8" x14ac:dyDescent="0.35">
      <c r="B128">
        <v>66575</v>
      </c>
      <c r="C128" s="1">
        <v>45895</v>
      </c>
      <c r="D128" t="s">
        <v>8</v>
      </c>
      <c r="E128" t="s">
        <v>105</v>
      </c>
      <c r="F128" t="s">
        <v>12</v>
      </c>
      <c r="G128" t="s">
        <v>22</v>
      </c>
      <c r="H128" s="2" t="s">
        <v>77</v>
      </c>
    </row>
    <row r="129" spans="2:8" x14ac:dyDescent="0.35">
      <c r="B129">
        <v>63111</v>
      </c>
      <c r="C129" s="1">
        <v>45895</v>
      </c>
      <c r="D129" t="s">
        <v>11</v>
      </c>
      <c r="E129" t="s">
        <v>104</v>
      </c>
      <c r="F129" t="s">
        <v>12</v>
      </c>
      <c r="G129" t="s">
        <v>24</v>
      </c>
      <c r="H129" s="2" t="s">
        <v>77</v>
      </c>
    </row>
    <row r="130" spans="2:8" x14ac:dyDescent="0.35">
      <c r="B130">
        <v>66579</v>
      </c>
      <c r="C130" s="1">
        <v>45895</v>
      </c>
      <c r="D130" t="s">
        <v>11</v>
      </c>
      <c r="E130" t="s">
        <v>104</v>
      </c>
      <c r="F130" t="s">
        <v>12</v>
      </c>
      <c r="G130" t="s">
        <v>24</v>
      </c>
      <c r="H130" s="2" t="s">
        <v>38</v>
      </c>
    </row>
    <row r="131" spans="2:8" x14ac:dyDescent="0.35">
      <c r="B131">
        <v>66814</v>
      </c>
      <c r="C131" s="1">
        <v>45895</v>
      </c>
      <c r="D131" t="s">
        <v>8</v>
      </c>
      <c r="E131" t="s">
        <v>105</v>
      </c>
      <c r="F131" t="s">
        <v>12</v>
      </c>
      <c r="G131" t="s">
        <v>16</v>
      </c>
      <c r="H131" s="2" t="s">
        <v>38</v>
      </c>
    </row>
    <row r="132" spans="2:8" x14ac:dyDescent="0.35">
      <c r="B132">
        <v>66977</v>
      </c>
      <c r="C132" s="1">
        <v>45895</v>
      </c>
      <c r="D132" t="s">
        <v>8</v>
      </c>
      <c r="E132" t="s">
        <v>105</v>
      </c>
      <c r="F132" t="s">
        <v>12</v>
      </c>
      <c r="G132" t="s">
        <v>16</v>
      </c>
      <c r="H132" s="2" t="s">
        <v>64</v>
      </c>
    </row>
    <row r="133" spans="2:8" x14ac:dyDescent="0.35">
      <c r="B133">
        <v>63381</v>
      </c>
      <c r="C133" s="1">
        <v>45895</v>
      </c>
      <c r="D133" t="s">
        <v>8</v>
      </c>
      <c r="E133" t="s">
        <v>105</v>
      </c>
      <c r="F133" t="s">
        <v>12</v>
      </c>
      <c r="G133" t="s">
        <v>16</v>
      </c>
      <c r="H133" s="2" t="s">
        <v>77</v>
      </c>
    </row>
    <row r="134" spans="2:8" x14ac:dyDescent="0.35">
      <c r="B134">
        <v>64301</v>
      </c>
      <c r="C134" s="1">
        <v>45895</v>
      </c>
      <c r="D134" t="s">
        <v>8</v>
      </c>
      <c r="E134" t="s">
        <v>105</v>
      </c>
      <c r="F134" t="s">
        <v>13</v>
      </c>
      <c r="G134" t="s">
        <v>16</v>
      </c>
      <c r="H134" s="2" t="s">
        <v>38</v>
      </c>
    </row>
    <row r="135" spans="2:8" x14ac:dyDescent="0.35">
      <c r="B135">
        <v>67755</v>
      </c>
      <c r="C135" s="1">
        <v>45896</v>
      </c>
      <c r="D135" t="s">
        <v>11</v>
      </c>
      <c r="E135" t="s">
        <v>104</v>
      </c>
      <c r="F135" t="s">
        <v>13</v>
      </c>
      <c r="G135" t="s">
        <v>29</v>
      </c>
      <c r="H135" s="2" t="s">
        <v>65</v>
      </c>
    </row>
    <row r="136" spans="2:8" x14ac:dyDescent="0.35">
      <c r="B136">
        <v>61472</v>
      </c>
      <c r="C136" s="1">
        <v>45898</v>
      </c>
      <c r="D136" t="s">
        <v>7</v>
      </c>
      <c r="E136" t="s">
        <v>104</v>
      </c>
      <c r="F136" t="s">
        <v>12</v>
      </c>
      <c r="G136" t="s">
        <v>18</v>
      </c>
      <c r="H136" s="2" t="s">
        <v>77</v>
      </c>
    </row>
    <row r="137" spans="2:8" x14ac:dyDescent="0.35">
      <c r="B137">
        <v>63988</v>
      </c>
      <c r="C137" s="1">
        <v>45898</v>
      </c>
      <c r="D137" t="s">
        <v>7</v>
      </c>
      <c r="E137" t="s">
        <v>104</v>
      </c>
      <c r="F137" t="s">
        <v>12</v>
      </c>
      <c r="G137" t="s">
        <v>23</v>
      </c>
      <c r="H137" s="4" t="s">
        <v>66</v>
      </c>
    </row>
    <row r="138" spans="2:8" x14ac:dyDescent="0.35">
      <c r="B138">
        <v>61573</v>
      </c>
      <c r="C138" s="1">
        <v>45898</v>
      </c>
      <c r="D138" t="s">
        <v>9</v>
      </c>
      <c r="E138" t="s">
        <v>105</v>
      </c>
      <c r="F138" t="s">
        <v>12</v>
      </c>
      <c r="G138" t="s">
        <v>17</v>
      </c>
      <c r="H138" s="2" t="s">
        <v>38</v>
      </c>
    </row>
    <row r="139" spans="2:8" x14ac:dyDescent="0.35">
      <c r="B139">
        <v>67780</v>
      </c>
      <c r="C139" s="1">
        <v>45898</v>
      </c>
      <c r="D139" t="s">
        <v>8</v>
      </c>
      <c r="E139" t="s">
        <v>105</v>
      </c>
      <c r="F139" t="s">
        <v>13</v>
      </c>
      <c r="G139" t="s">
        <v>27</v>
      </c>
      <c r="H139" s="5" t="s">
        <v>67</v>
      </c>
    </row>
    <row r="140" spans="2:8" x14ac:dyDescent="0.35">
      <c r="B140">
        <v>60047</v>
      </c>
      <c r="C140" s="1">
        <v>45901</v>
      </c>
      <c r="D140" t="s">
        <v>9</v>
      </c>
      <c r="E140" t="s">
        <v>105</v>
      </c>
      <c r="F140" t="s">
        <v>12</v>
      </c>
      <c r="G140" t="s">
        <v>26</v>
      </c>
      <c r="H140" s="2" t="s">
        <v>68</v>
      </c>
    </row>
    <row r="141" spans="2:8" x14ac:dyDescent="0.35">
      <c r="B141">
        <v>60212</v>
      </c>
      <c r="C141" s="1">
        <v>45901</v>
      </c>
      <c r="D141" t="s">
        <v>9</v>
      </c>
      <c r="E141" t="s">
        <v>105</v>
      </c>
      <c r="F141" t="s">
        <v>12</v>
      </c>
      <c r="G141" t="s">
        <v>19</v>
      </c>
      <c r="H141" s="2" t="s">
        <v>38</v>
      </c>
    </row>
    <row r="142" spans="2:8" x14ac:dyDescent="0.35">
      <c r="B142">
        <v>60246</v>
      </c>
      <c r="C142" s="1">
        <v>45901</v>
      </c>
      <c r="D142" t="s">
        <v>9</v>
      </c>
      <c r="E142" t="s">
        <v>105</v>
      </c>
      <c r="F142" t="s">
        <v>12</v>
      </c>
      <c r="G142" t="s">
        <v>26</v>
      </c>
      <c r="H142" s="5" t="s">
        <v>69</v>
      </c>
    </row>
    <row r="143" spans="2:8" x14ac:dyDescent="0.35">
      <c r="B143">
        <v>60375</v>
      </c>
      <c r="C143" s="1">
        <v>45901</v>
      </c>
      <c r="D143" t="s">
        <v>9</v>
      </c>
      <c r="E143" t="s">
        <v>105</v>
      </c>
      <c r="F143" t="s">
        <v>12</v>
      </c>
      <c r="G143" t="s">
        <v>26</v>
      </c>
      <c r="H143" s="2" t="s">
        <v>38</v>
      </c>
    </row>
    <row r="144" spans="2:8" x14ac:dyDescent="0.35">
      <c r="B144">
        <v>60397</v>
      </c>
      <c r="C144" s="1">
        <v>45901</v>
      </c>
      <c r="D144" t="s">
        <v>9</v>
      </c>
      <c r="E144" t="s">
        <v>105</v>
      </c>
      <c r="F144" t="s">
        <v>12</v>
      </c>
      <c r="G144" t="s">
        <v>26</v>
      </c>
      <c r="H144" s="2" t="s">
        <v>38</v>
      </c>
    </row>
    <row r="145" spans="2:8" x14ac:dyDescent="0.35">
      <c r="B145">
        <v>60522</v>
      </c>
      <c r="C145" s="1">
        <v>45901</v>
      </c>
      <c r="D145" t="s">
        <v>9</v>
      </c>
      <c r="E145" t="s">
        <v>105</v>
      </c>
      <c r="F145" t="s">
        <v>12</v>
      </c>
      <c r="G145" t="s">
        <v>19</v>
      </c>
      <c r="H145" s="2" t="s">
        <v>38</v>
      </c>
    </row>
    <row r="146" spans="2:8" x14ac:dyDescent="0.35">
      <c r="B146">
        <v>61986</v>
      </c>
      <c r="C146" s="1">
        <v>45901</v>
      </c>
      <c r="D146" t="s">
        <v>9</v>
      </c>
      <c r="E146" t="s">
        <v>105</v>
      </c>
      <c r="F146" t="s">
        <v>12</v>
      </c>
      <c r="G146" t="s">
        <v>26</v>
      </c>
      <c r="H146" s="7" t="s">
        <v>70</v>
      </c>
    </row>
    <row r="147" spans="2:8" x14ac:dyDescent="0.35">
      <c r="B147">
        <v>62190</v>
      </c>
      <c r="C147" s="1">
        <v>45901</v>
      </c>
      <c r="D147" t="s">
        <v>9</v>
      </c>
      <c r="E147" t="s">
        <v>105</v>
      </c>
      <c r="F147" t="s">
        <v>12</v>
      </c>
      <c r="G147" t="s">
        <v>26</v>
      </c>
      <c r="H147" s="2" t="s">
        <v>38</v>
      </c>
    </row>
    <row r="148" spans="2:8" x14ac:dyDescent="0.35">
      <c r="B148">
        <v>62646</v>
      </c>
      <c r="C148" s="1">
        <v>45901</v>
      </c>
      <c r="D148" t="s">
        <v>9</v>
      </c>
      <c r="E148" t="s">
        <v>105</v>
      </c>
      <c r="F148" t="s">
        <v>12</v>
      </c>
      <c r="G148" t="s">
        <v>26</v>
      </c>
      <c r="H148" s="2" t="s">
        <v>71</v>
      </c>
    </row>
    <row r="149" spans="2:8" x14ac:dyDescent="0.35">
      <c r="B149">
        <v>63870</v>
      </c>
      <c r="C149" s="1">
        <v>45901</v>
      </c>
      <c r="D149" t="s">
        <v>7</v>
      </c>
      <c r="E149" t="s">
        <v>104</v>
      </c>
      <c r="F149" t="s">
        <v>12</v>
      </c>
      <c r="G149" t="s">
        <v>18</v>
      </c>
      <c r="H149" s="2" t="s">
        <v>38</v>
      </c>
    </row>
    <row r="150" spans="2:8" x14ac:dyDescent="0.35">
      <c r="B150">
        <v>64296</v>
      </c>
      <c r="C150" s="1">
        <v>45901</v>
      </c>
      <c r="D150" t="s">
        <v>9</v>
      </c>
      <c r="E150" t="s">
        <v>105</v>
      </c>
      <c r="F150" t="s">
        <v>12</v>
      </c>
      <c r="G150" t="s">
        <v>20</v>
      </c>
      <c r="H150" s="2" t="s">
        <v>38</v>
      </c>
    </row>
    <row r="151" spans="2:8" x14ac:dyDescent="0.35">
      <c r="B151">
        <v>66870</v>
      </c>
      <c r="C151" s="1">
        <v>45901</v>
      </c>
      <c r="D151" t="s">
        <v>9</v>
      </c>
      <c r="E151" t="s">
        <v>105</v>
      </c>
      <c r="F151" t="s">
        <v>12</v>
      </c>
      <c r="G151" t="s">
        <v>26</v>
      </c>
      <c r="H151" s="2" t="s">
        <v>60</v>
      </c>
    </row>
    <row r="152" spans="2:8" x14ac:dyDescent="0.35">
      <c r="B152">
        <v>64282</v>
      </c>
      <c r="C152" s="1">
        <v>45901</v>
      </c>
      <c r="D152" t="s">
        <v>9</v>
      </c>
      <c r="E152" t="s">
        <v>105</v>
      </c>
      <c r="F152" t="s">
        <v>12</v>
      </c>
      <c r="G152" t="s">
        <v>26</v>
      </c>
      <c r="H152" s="2" t="s">
        <v>60</v>
      </c>
    </row>
    <row r="153" spans="2:8" x14ac:dyDescent="0.35">
      <c r="B153">
        <v>64286</v>
      </c>
      <c r="C153" s="1">
        <v>45901</v>
      </c>
      <c r="D153" t="s">
        <v>9</v>
      </c>
      <c r="E153" t="s">
        <v>105</v>
      </c>
      <c r="F153" t="s">
        <v>12</v>
      </c>
      <c r="G153" t="s">
        <v>26</v>
      </c>
      <c r="H153" s="2" t="s">
        <v>38</v>
      </c>
    </row>
    <row r="154" spans="2:8" x14ac:dyDescent="0.35">
      <c r="B154">
        <v>64776</v>
      </c>
      <c r="C154" s="1">
        <v>45901</v>
      </c>
      <c r="D154" t="s">
        <v>9</v>
      </c>
      <c r="E154" t="s">
        <v>105</v>
      </c>
      <c r="F154" t="s">
        <v>12</v>
      </c>
      <c r="G154" t="s">
        <v>26</v>
      </c>
      <c r="H154" s="2" t="s">
        <v>38</v>
      </c>
    </row>
    <row r="155" spans="2:8" x14ac:dyDescent="0.35">
      <c r="B155">
        <v>63491</v>
      </c>
      <c r="C155" s="1">
        <v>45901</v>
      </c>
      <c r="D155" t="s">
        <v>11</v>
      </c>
      <c r="E155" t="s">
        <v>104</v>
      </c>
      <c r="F155" t="s">
        <v>12</v>
      </c>
      <c r="G155" t="s">
        <v>24</v>
      </c>
      <c r="H155" s="2" t="s">
        <v>60</v>
      </c>
    </row>
    <row r="156" spans="2:8" x14ac:dyDescent="0.35">
      <c r="B156">
        <v>61314</v>
      </c>
      <c r="C156" s="1">
        <v>45901</v>
      </c>
      <c r="D156" t="s">
        <v>8</v>
      </c>
      <c r="E156" t="s">
        <v>105</v>
      </c>
      <c r="F156" t="s">
        <v>12</v>
      </c>
      <c r="G156" t="s">
        <v>16</v>
      </c>
      <c r="H156" s="2" t="s">
        <v>72</v>
      </c>
    </row>
    <row r="157" spans="2:8" x14ac:dyDescent="0.35">
      <c r="B157">
        <v>65933</v>
      </c>
      <c r="C157" s="1">
        <v>45901</v>
      </c>
      <c r="D157" t="s">
        <v>8</v>
      </c>
      <c r="E157" t="s">
        <v>105</v>
      </c>
      <c r="F157" t="s">
        <v>12</v>
      </c>
      <c r="G157" t="s">
        <v>16</v>
      </c>
      <c r="H157" s="6" t="s">
        <v>60</v>
      </c>
    </row>
    <row r="158" spans="2:8" ht="16" x14ac:dyDescent="0.4">
      <c r="B158">
        <v>65553</v>
      </c>
      <c r="C158" s="1">
        <v>45902</v>
      </c>
      <c r="D158" t="s">
        <v>7</v>
      </c>
      <c r="E158" t="s">
        <v>104</v>
      </c>
      <c r="F158" t="s">
        <v>12</v>
      </c>
      <c r="G158" t="s">
        <v>15</v>
      </c>
      <c r="H158" s="8" t="s">
        <v>73</v>
      </c>
    </row>
    <row r="159" spans="2:8" x14ac:dyDescent="0.35">
      <c r="B159">
        <v>65747</v>
      </c>
      <c r="C159" s="1">
        <v>45902</v>
      </c>
      <c r="D159" t="s">
        <v>11</v>
      </c>
      <c r="E159" t="s">
        <v>104</v>
      </c>
      <c r="F159" t="s">
        <v>12</v>
      </c>
      <c r="G159" t="s">
        <v>24</v>
      </c>
      <c r="H159" s="6" t="s">
        <v>74</v>
      </c>
    </row>
    <row r="160" spans="2:8" x14ac:dyDescent="0.35">
      <c r="B160">
        <v>66085</v>
      </c>
      <c r="C160" s="1">
        <v>45902</v>
      </c>
      <c r="D160" t="s">
        <v>11</v>
      </c>
      <c r="E160" t="s">
        <v>104</v>
      </c>
      <c r="F160" t="s">
        <v>12</v>
      </c>
      <c r="G160" t="s">
        <v>24</v>
      </c>
      <c r="H160" s="2" t="s">
        <v>74</v>
      </c>
    </row>
    <row r="161" spans="2:8" x14ac:dyDescent="0.35">
      <c r="B161">
        <v>66062</v>
      </c>
      <c r="C161" s="1">
        <v>45902</v>
      </c>
      <c r="D161" t="s">
        <v>11</v>
      </c>
      <c r="E161" t="s">
        <v>104</v>
      </c>
      <c r="F161" t="s">
        <v>12</v>
      </c>
      <c r="G161" t="s">
        <v>24</v>
      </c>
      <c r="H161" s="2" t="s">
        <v>60</v>
      </c>
    </row>
    <row r="162" spans="2:8" x14ac:dyDescent="0.35">
      <c r="B162">
        <v>63747</v>
      </c>
      <c r="C162" s="1">
        <v>45902</v>
      </c>
      <c r="D162" t="s">
        <v>11</v>
      </c>
      <c r="E162" t="s">
        <v>104</v>
      </c>
      <c r="F162" t="s">
        <v>12</v>
      </c>
      <c r="G162" t="s">
        <v>24</v>
      </c>
      <c r="H162" s="2" t="s">
        <v>38</v>
      </c>
    </row>
    <row r="163" spans="2:8" x14ac:dyDescent="0.35">
      <c r="B163">
        <v>62038</v>
      </c>
      <c r="C163" s="1">
        <v>45902</v>
      </c>
      <c r="D163" t="s">
        <v>11</v>
      </c>
      <c r="E163" t="s">
        <v>104</v>
      </c>
      <c r="F163" t="s">
        <v>12</v>
      </c>
      <c r="G163" t="s">
        <v>24</v>
      </c>
      <c r="H163" s="2" t="s">
        <v>60</v>
      </c>
    </row>
    <row r="164" spans="2:8" x14ac:dyDescent="0.35">
      <c r="B164">
        <v>63474</v>
      </c>
      <c r="C164" s="1">
        <v>45902</v>
      </c>
      <c r="D164" t="s">
        <v>11</v>
      </c>
      <c r="E164" t="s">
        <v>104</v>
      </c>
      <c r="F164" t="s">
        <v>12</v>
      </c>
      <c r="G164" t="s">
        <v>24</v>
      </c>
      <c r="H164" s="2" t="s">
        <v>60</v>
      </c>
    </row>
    <row r="165" spans="2:8" x14ac:dyDescent="0.35">
      <c r="B165">
        <v>61321</v>
      </c>
      <c r="C165" s="1">
        <v>45902</v>
      </c>
      <c r="D165" t="s">
        <v>8</v>
      </c>
      <c r="E165" t="s">
        <v>105</v>
      </c>
      <c r="F165" t="s">
        <v>12</v>
      </c>
      <c r="G165" t="s">
        <v>16</v>
      </c>
      <c r="H165" s="2" t="s">
        <v>60</v>
      </c>
    </row>
    <row r="166" spans="2:8" x14ac:dyDescent="0.35">
      <c r="B166">
        <v>60183</v>
      </c>
      <c r="C166" s="1">
        <v>45902</v>
      </c>
      <c r="D166" t="s">
        <v>9</v>
      </c>
      <c r="E166" t="s">
        <v>105</v>
      </c>
      <c r="F166" t="s">
        <v>12</v>
      </c>
      <c r="G166" t="s">
        <v>26</v>
      </c>
      <c r="H166" s="2" t="s">
        <v>38</v>
      </c>
    </row>
    <row r="167" spans="2:8" ht="16" x14ac:dyDescent="0.4">
      <c r="B167">
        <v>66072</v>
      </c>
      <c r="C167" s="1">
        <v>45902</v>
      </c>
      <c r="D167" t="s">
        <v>11</v>
      </c>
      <c r="E167" t="s">
        <v>104</v>
      </c>
      <c r="F167" t="s">
        <v>12</v>
      </c>
      <c r="G167" t="s">
        <v>24</v>
      </c>
      <c r="H167" s="8" t="s">
        <v>75</v>
      </c>
    </row>
    <row r="168" spans="2:8" ht="16" x14ac:dyDescent="0.4">
      <c r="B168">
        <v>61635</v>
      </c>
      <c r="C168" s="1">
        <v>45904</v>
      </c>
      <c r="D168" t="s">
        <v>9</v>
      </c>
      <c r="E168" t="s">
        <v>105</v>
      </c>
      <c r="F168" t="s">
        <v>12</v>
      </c>
      <c r="G168" t="s">
        <v>26</v>
      </c>
      <c r="H168" s="9" t="s">
        <v>76</v>
      </c>
    </row>
    <row r="169" spans="2:8" ht="16" x14ac:dyDescent="0.4">
      <c r="B169">
        <v>61562</v>
      </c>
      <c r="C169" s="1">
        <v>45904</v>
      </c>
      <c r="D169" t="s">
        <v>9</v>
      </c>
      <c r="E169" t="s">
        <v>105</v>
      </c>
      <c r="F169" t="s">
        <v>12</v>
      </c>
      <c r="G169" t="s">
        <v>26</v>
      </c>
      <c r="H169" s="9" t="s">
        <v>76</v>
      </c>
    </row>
    <row r="170" spans="2:8" x14ac:dyDescent="0.35">
      <c r="B170">
        <v>65878</v>
      </c>
      <c r="C170" s="1">
        <v>45904</v>
      </c>
      <c r="D170" t="s">
        <v>6</v>
      </c>
      <c r="E170" t="s">
        <v>104</v>
      </c>
      <c r="F170" t="s">
        <v>12</v>
      </c>
      <c r="G170" t="s">
        <v>14</v>
      </c>
      <c r="H170" s="2" t="s">
        <v>38</v>
      </c>
    </row>
    <row r="171" spans="2:8" x14ac:dyDescent="0.35">
      <c r="B171">
        <v>66941</v>
      </c>
      <c r="C171" s="1">
        <v>45904</v>
      </c>
      <c r="D171" t="s">
        <v>7</v>
      </c>
      <c r="E171" t="s">
        <v>104</v>
      </c>
      <c r="F171" t="s">
        <v>12</v>
      </c>
      <c r="G171" t="s">
        <v>18</v>
      </c>
      <c r="H171" s="2" t="s">
        <v>77</v>
      </c>
    </row>
    <row r="172" spans="2:8" x14ac:dyDescent="0.35">
      <c r="B172">
        <v>62349</v>
      </c>
      <c r="C172" s="1">
        <v>45904</v>
      </c>
      <c r="D172" t="s">
        <v>7</v>
      </c>
      <c r="E172" t="s">
        <v>104</v>
      </c>
      <c r="F172" t="s">
        <v>12</v>
      </c>
      <c r="G172" t="s">
        <v>18</v>
      </c>
      <c r="H172" s="2" t="s">
        <v>77</v>
      </c>
    </row>
    <row r="173" spans="2:8" x14ac:dyDescent="0.35">
      <c r="B173">
        <v>62468</v>
      </c>
      <c r="C173" s="1">
        <v>45904</v>
      </c>
      <c r="D173" t="s">
        <v>7</v>
      </c>
      <c r="E173" t="s">
        <v>104</v>
      </c>
      <c r="F173" t="s">
        <v>13</v>
      </c>
      <c r="G173" t="s">
        <v>18</v>
      </c>
      <c r="H173" s="2" t="s">
        <v>77</v>
      </c>
    </row>
    <row r="174" spans="2:8" x14ac:dyDescent="0.35">
      <c r="B174">
        <v>66029</v>
      </c>
      <c r="C174" s="1">
        <v>45904</v>
      </c>
      <c r="D174" t="s">
        <v>7</v>
      </c>
      <c r="E174" t="s">
        <v>104</v>
      </c>
      <c r="F174" t="s">
        <v>12</v>
      </c>
      <c r="G174" t="s">
        <v>18</v>
      </c>
      <c r="H174" s="2" t="s">
        <v>77</v>
      </c>
    </row>
    <row r="175" spans="2:8" x14ac:dyDescent="0.35">
      <c r="B175">
        <v>66145</v>
      </c>
      <c r="C175" s="1">
        <v>45904</v>
      </c>
      <c r="D175" t="s">
        <v>7</v>
      </c>
      <c r="E175" t="s">
        <v>104</v>
      </c>
      <c r="F175" t="s">
        <v>12</v>
      </c>
      <c r="G175" t="s">
        <v>18</v>
      </c>
      <c r="H175" s="2" t="s">
        <v>77</v>
      </c>
    </row>
    <row r="176" spans="2:8" x14ac:dyDescent="0.35">
      <c r="B176">
        <v>62553</v>
      </c>
      <c r="C176" s="1">
        <v>45908</v>
      </c>
      <c r="D176" t="s">
        <v>9</v>
      </c>
      <c r="E176" t="s">
        <v>105</v>
      </c>
      <c r="F176" t="s">
        <v>12</v>
      </c>
      <c r="G176" t="s">
        <v>17</v>
      </c>
      <c r="H176" s="2" t="s">
        <v>77</v>
      </c>
    </row>
    <row r="177" spans="2:8" x14ac:dyDescent="0.35">
      <c r="B177">
        <v>62685</v>
      </c>
      <c r="C177" s="1">
        <v>45908</v>
      </c>
      <c r="D177" t="s">
        <v>9</v>
      </c>
      <c r="E177" t="s">
        <v>105</v>
      </c>
      <c r="F177" t="s">
        <v>12</v>
      </c>
      <c r="G177" t="s">
        <v>17</v>
      </c>
      <c r="H177" s="2" t="s">
        <v>77</v>
      </c>
    </row>
    <row r="178" spans="2:8" x14ac:dyDescent="0.35">
      <c r="B178">
        <v>63488</v>
      </c>
      <c r="C178" s="1">
        <v>45908</v>
      </c>
      <c r="D178" t="s">
        <v>9</v>
      </c>
      <c r="E178" t="s">
        <v>105</v>
      </c>
      <c r="F178" t="s">
        <v>12</v>
      </c>
      <c r="G178" t="s">
        <v>17</v>
      </c>
      <c r="H178" s="2" t="s">
        <v>77</v>
      </c>
    </row>
    <row r="179" spans="2:8" x14ac:dyDescent="0.35">
      <c r="B179">
        <v>66033</v>
      </c>
      <c r="C179" s="1">
        <v>45908</v>
      </c>
      <c r="D179" t="s">
        <v>9</v>
      </c>
      <c r="E179" t="s">
        <v>105</v>
      </c>
      <c r="F179" t="s">
        <v>12</v>
      </c>
      <c r="G179" t="s">
        <v>17</v>
      </c>
      <c r="H179" s="2" t="s">
        <v>77</v>
      </c>
    </row>
    <row r="180" spans="2:8" x14ac:dyDescent="0.35">
      <c r="B180">
        <v>61698</v>
      </c>
      <c r="C180" s="1">
        <v>45908</v>
      </c>
      <c r="D180" t="s">
        <v>9</v>
      </c>
      <c r="E180" t="s">
        <v>105</v>
      </c>
      <c r="F180" t="s">
        <v>12</v>
      </c>
      <c r="G180" t="s">
        <v>19</v>
      </c>
      <c r="H180" s="2" t="s">
        <v>77</v>
      </c>
    </row>
    <row r="181" spans="2:8" x14ac:dyDescent="0.35">
      <c r="B181">
        <v>60202</v>
      </c>
      <c r="C181" s="1">
        <v>45908</v>
      </c>
      <c r="D181" t="s">
        <v>11</v>
      </c>
      <c r="E181" t="s">
        <v>104</v>
      </c>
      <c r="F181" t="s">
        <v>12</v>
      </c>
      <c r="G181" t="s">
        <v>29</v>
      </c>
      <c r="H181" s="2" t="s">
        <v>77</v>
      </c>
    </row>
    <row r="182" spans="2:8" x14ac:dyDescent="0.35">
      <c r="B182">
        <v>60340</v>
      </c>
      <c r="C182" s="1">
        <v>45908</v>
      </c>
      <c r="D182" t="s">
        <v>9</v>
      </c>
      <c r="E182" t="s">
        <v>105</v>
      </c>
      <c r="F182" t="s">
        <v>12</v>
      </c>
      <c r="G182" t="s">
        <v>26</v>
      </c>
      <c r="H182" s="2" t="s">
        <v>77</v>
      </c>
    </row>
    <row r="183" spans="2:8" x14ac:dyDescent="0.35">
      <c r="B183">
        <v>62626</v>
      </c>
      <c r="C183" s="1">
        <v>45908</v>
      </c>
      <c r="D183" t="s">
        <v>9</v>
      </c>
      <c r="E183" t="s">
        <v>105</v>
      </c>
      <c r="F183" t="s">
        <v>12</v>
      </c>
      <c r="G183" t="s">
        <v>20</v>
      </c>
      <c r="H183" s="2" t="s">
        <v>77</v>
      </c>
    </row>
    <row r="184" spans="2:8" x14ac:dyDescent="0.35">
      <c r="B184">
        <v>64857</v>
      </c>
      <c r="C184" s="1">
        <v>45908</v>
      </c>
      <c r="D184" t="s">
        <v>9</v>
      </c>
      <c r="E184" t="s">
        <v>105</v>
      </c>
      <c r="F184" t="s">
        <v>12</v>
      </c>
      <c r="G184" t="s">
        <v>20</v>
      </c>
      <c r="H184" s="2" t="s">
        <v>77</v>
      </c>
    </row>
    <row r="185" spans="2:8" x14ac:dyDescent="0.35">
      <c r="B185">
        <v>67575</v>
      </c>
      <c r="C185" s="1">
        <v>45908</v>
      </c>
      <c r="D185" t="s">
        <v>9</v>
      </c>
      <c r="E185" t="s">
        <v>105</v>
      </c>
      <c r="F185" t="s">
        <v>12</v>
      </c>
      <c r="G185" t="s">
        <v>20</v>
      </c>
      <c r="H185" s="2" t="s">
        <v>77</v>
      </c>
    </row>
    <row r="186" spans="2:8" x14ac:dyDescent="0.35">
      <c r="B186">
        <v>62018</v>
      </c>
      <c r="C186" s="1">
        <v>45908</v>
      </c>
      <c r="D186" t="s">
        <v>9</v>
      </c>
      <c r="E186" t="s">
        <v>105</v>
      </c>
      <c r="F186" t="s">
        <v>12</v>
      </c>
      <c r="G186" t="s">
        <v>26</v>
      </c>
      <c r="H186" s="2" t="s">
        <v>77</v>
      </c>
    </row>
    <row r="187" spans="2:8" x14ac:dyDescent="0.35">
      <c r="B187">
        <v>63913</v>
      </c>
      <c r="C187" s="1">
        <v>45910</v>
      </c>
      <c r="D187" t="s">
        <v>7</v>
      </c>
      <c r="E187" t="s">
        <v>104</v>
      </c>
      <c r="F187" t="s">
        <v>12</v>
      </c>
      <c r="G187" t="s">
        <v>23</v>
      </c>
      <c r="H187" s="2" t="s">
        <v>60</v>
      </c>
    </row>
    <row r="188" spans="2:8" x14ac:dyDescent="0.35">
      <c r="B188">
        <v>62176</v>
      </c>
      <c r="C188" s="1">
        <v>45912</v>
      </c>
      <c r="D188" t="s">
        <v>7</v>
      </c>
      <c r="E188" t="s">
        <v>104</v>
      </c>
      <c r="F188" t="s">
        <v>12</v>
      </c>
      <c r="G188" t="s">
        <v>18</v>
      </c>
      <c r="H188" s="2" t="s">
        <v>38</v>
      </c>
    </row>
    <row r="189" spans="2:8" x14ac:dyDescent="0.35">
      <c r="B189">
        <v>61619</v>
      </c>
      <c r="C189" s="1">
        <v>45912</v>
      </c>
      <c r="D189" t="s">
        <v>7</v>
      </c>
      <c r="E189" t="s">
        <v>104</v>
      </c>
      <c r="F189" t="s">
        <v>12</v>
      </c>
      <c r="G189" t="s">
        <v>18</v>
      </c>
      <c r="H189" s="2" t="s">
        <v>77</v>
      </c>
    </row>
    <row r="190" spans="2:8" x14ac:dyDescent="0.35">
      <c r="B190">
        <v>65598</v>
      </c>
      <c r="C190" s="1">
        <v>45912</v>
      </c>
      <c r="D190" t="s">
        <v>7</v>
      </c>
      <c r="E190" t="s">
        <v>104</v>
      </c>
      <c r="F190" t="s">
        <v>12</v>
      </c>
      <c r="G190" t="s">
        <v>25</v>
      </c>
      <c r="H190" s="2" t="s">
        <v>77</v>
      </c>
    </row>
    <row r="191" spans="2:8" x14ac:dyDescent="0.35">
      <c r="B191">
        <v>63576</v>
      </c>
      <c r="C191" s="1">
        <v>45912</v>
      </c>
      <c r="D191" t="s">
        <v>7</v>
      </c>
      <c r="E191" t="s">
        <v>104</v>
      </c>
      <c r="F191" t="s">
        <v>13</v>
      </c>
      <c r="G191" t="s">
        <v>15</v>
      </c>
      <c r="H191" t="s">
        <v>78</v>
      </c>
    </row>
    <row r="192" spans="2:8" ht="16" x14ac:dyDescent="0.4">
      <c r="B192">
        <v>65671</v>
      </c>
      <c r="C192" s="1">
        <v>45912</v>
      </c>
      <c r="D192" t="s">
        <v>9</v>
      </c>
      <c r="E192" t="s">
        <v>105</v>
      </c>
      <c r="F192" t="s">
        <v>12</v>
      </c>
      <c r="G192" t="s">
        <v>26</v>
      </c>
      <c r="H192" s="8" t="s">
        <v>60</v>
      </c>
    </row>
    <row r="193" spans="1:8" x14ac:dyDescent="0.35">
      <c r="B193">
        <v>64176</v>
      </c>
      <c r="C193" s="1">
        <v>45912</v>
      </c>
      <c r="D193" t="s">
        <v>9</v>
      </c>
      <c r="E193" t="s">
        <v>105</v>
      </c>
      <c r="F193" t="s">
        <v>12</v>
      </c>
      <c r="G193" t="s">
        <v>20</v>
      </c>
      <c r="H193" s="2" t="s">
        <v>77</v>
      </c>
    </row>
    <row r="194" spans="1:8" x14ac:dyDescent="0.35">
      <c r="B194">
        <v>64960</v>
      </c>
      <c r="C194" s="1">
        <v>45912</v>
      </c>
      <c r="D194" t="s">
        <v>6</v>
      </c>
      <c r="E194" t="s">
        <v>104</v>
      </c>
      <c r="F194" t="s">
        <v>12</v>
      </c>
      <c r="G194" t="s">
        <v>14</v>
      </c>
      <c r="H194" s="2" t="s">
        <v>77</v>
      </c>
    </row>
    <row r="195" spans="1:8" x14ac:dyDescent="0.35">
      <c r="A195">
        <v>60377</v>
      </c>
      <c r="C195" s="1">
        <v>45915</v>
      </c>
      <c r="D195" t="s">
        <v>9</v>
      </c>
      <c r="E195" t="s">
        <v>105</v>
      </c>
      <c r="F195" t="s">
        <v>12</v>
      </c>
      <c r="G195" t="s">
        <v>20</v>
      </c>
      <c r="H195" s="4" t="s">
        <v>82</v>
      </c>
    </row>
    <row r="196" spans="1:8" ht="16" x14ac:dyDescent="0.4">
      <c r="A196">
        <v>61212</v>
      </c>
      <c r="C196" s="1">
        <v>45915</v>
      </c>
      <c r="D196" t="s">
        <v>7</v>
      </c>
      <c r="E196" t="s">
        <v>104</v>
      </c>
      <c r="F196" t="s">
        <v>12</v>
      </c>
      <c r="G196" t="s">
        <v>15</v>
      </c>
      <c r="H196" s="8"/>
    </row>
    <row r="197" spans="1:8" ht="16" x14ac:dyDescent="0.4">
      <c r="A197">
        <v>61213</v>
      </c>
      <c r="C197" s="1">
        <v>45915</v>
      </c>
      <c r="D197" t="s">
        <v>7</v>
      </c>
      <c r="E197" t="s">
        <v>104</v>
      </c>
      <c r="F197" t="s">
        <v>12</v>
      </c>
      <c r="G197" t="s">
        <v>15</v>
      </c>
      <c r="H197" s="8"/>
    </row>
    <row r="198" spans="1:8" ht="16" x14ac:dyDescent="0.4">
      <c r="A198">
        <v>61214</v>
      </c>
      <c r="C198" s="1">
        <v>45915</v>
      </c>
      <c r="D198" t="s">
        <v>7</v>
      </c>
      <c r="E198" t="s">
        <v>104</v>
      </c>
      <c r="F198" t="s">
        <v>12</v>
      </c>
      <c r="G198" t="s">
        <v>15</v>
      </c>
      <c r="H198" s="8"/>
    </row>
    <row r="199" spans="1:8" ht="16" x14ac:dyDescent="0.4">
      <c r="A199">
        <v>61215</v>
      </c>
      <c r="C199" s="1">
        <v>45915</v>
      </c>
      <c r="D199" t="s">
        <v>7</v>
      </c>
      <c r="E199" t="s">
        <v>104</v>
      </c>
      <c r="F199" t="s">
        <v>12</v>
      </c>
      <c r="G199" t="s">
        <v>15</v>
      </c>
      <c r="H199" s="8"/>
    </row>
    <row r="200" spans="1:8" ht="16" x14ac:dyDescent="0.4">
      <c r="A200">
        <v>61216</v>
      </c>
      <c r="C200" s="1">
        <v>45915</v>
      </c>
      <c r="D200" t="s">
        <v>7</v>
      </c>
      <c r="E200" t="s">
        <v>104</v>
      </c>
      <c r="F200" t="s">
        <v>12</v>
      </c>
      <c r="G200" t="s">
        <v>15</v>
      </c>
      <c r="H200" s="8"/>
    </row>
    <row r="201" spans="1:8" ht="16" x14ac:dyDescent="0.4">
      <c r="A201">
        <v>61217</v>
      </c>
      <c r="C201" s="1">
        <v>45915</v>
      </c>
      <c r="D201" t="s">
        <v>7</v>
      </c>
      <c r="E201" t="s">
        <v>104</v>
      </c>
      <c r="F201" t="s">
        <v>12</v>
      </c>
      <c r="G201" t="s">
        <v>15</v>
      </c>
      <c r="H201" s="8"/>
    </row>
    <row r="202" spans="1:8" ht="16" x14ac:dyDescent="0.4">
      <c r="A202">
        <v>61312</v>
      </c>
      <c r="C202" s="1">
        <v>45915</v>
      </c>
      <c r="D202" t="s">
        <v>7</v>
      </c>
      <c r="E202" t="s">
        <v>104</v>
      </c>
      <c r="F202" t="s">
        <v>12</v>
      </c>
      <c r="G202" t="s">
        <v>15</v>
      </c>
      <c r="H202" s="8"/>
    </row>
    <row r="203" spans="1:8" x14ac:dyDescent="0.35">
      <c r="A203">
        <v>62059</v>
      </c>
      <c r="C203" s="1">
        <v>45915</v>
      </c>
      <c r="D203" t="s">
        <v>6</v>
      </c>
      <c r="E203" t="s">
        <v>104</v>
      </c>
      <c r="F203" t="s">
        <v>12</v>
      </c>
      <c r="G203" t="s">
        <v>14</v>
      </c>
      <c r="H203" t="s">
        <v>83</v>
      </c>
    </row>
    <row r="204" spans="1:8" ht="16" x14ac:dyDescent="0.4">
      <c r="A204">
        <v>62232</v>
      </c>
      <c r="C204" s="1">
        <v>45915</v>
      </c>
      <c r="D204" t="s">
        <v>6</v>
      </c>
      <c r="E204" t="s">
        <v>104</v>
      </c>
      <c r="F204" t="s">
        <v>12</v>
      </c>
      <c r="G204" t="s">
        <v>81</v>
      </c>
      <c r="H204" s="10" t="s">
        <v>84</v>
      </c>
    </row>
    <row r="205" spans="1:8" ht="16" x14ac:dyDescent="0.4">
      <c r="A205">
        <v>62279</v>
      </c>
      <c r="C205" s="1">
        <v>45915</v>
      </c>
      <c r="D205" t="s">
        <v>6</v>
      </c>
      <c r="E205" t="s">
        <v>104</v>
      </c>
      <c r="F205" t="s">
        <v>12</v>
      </c>
      <c r="G205" t="s">
        <v>81</v>
      </c>
      <c r="H205" s="10" t="s">
        <v>84</v>
      </c>
    </row>
    <row r="206" spans="1:8" x14ac:dyDescent="0.35">
      <c r="A206">
        <v>62420</v>
      </c>
      <c r="C206" s="1">
        <v>45915</v>
      </c>
      <c r="D206" t="s">
        <v>6</v>
      </c>
      <c r="E206" t="s">
        <v>104</v>
      </c>
      <c r="F206" t="s">
        <v>12</v>
      </c>
      <c r="G206" t="s">
        <v>81</v>
      </c>
      <c r="H206" s="11" t="s">
        <v>85</v>
      </c>
    </row>
    <row r="207" spans="1:8" x14ac:dyDescent="0.35">
      <c r="A207">
        <v>62635</v>
      </c>
      <c r="C207" s="1">
        <v>45915</v>
      </c>
      <c r="D207" t="s">
        <v>11</v>
      </c>
      <c r="E207" t="s">
        <v>104</v>
      </c>
      <c r="F207" t="s">
        <v>12</v>
      </c>
      <c r="G207" t="s">
        <v>24</v>
      </c>
      <c r="H207" s="4" t="s">
        <v>86</v>
      </c>
    </row>
    <row r="208" spans="1:8" x14ac:dyDescent="0.35">
      <c r="A208">
        <v>64148</v>
      </c>
      <c r="C208" s="1">
        <v>45915</v>
      </c>
      <c r="D208" t="s">
        <v>6</v>
      </c>
      <c r="E208" t="s">
        <v>104</v>
      </c>
      <c r="F208" t="s">
        <v>12</v>
      </c>
      <c r="G208" t="s">
        <v>81</v>
      </c>
      <c r="H208" s="4" t="s">
        <v>87</v>
      </c>
    </row>
    <row r="209" spans="1:8" ht="16" x14ac:dyDescent="0.4">
      <c r="A209">
        <v>64472</v>
      </c>
      <c r="C209" s="1">
        <v>45915</v>
      </c>
      <c r="D209" t="s">
        <v>7</v>
      </c>
      <c r="E209" t="s">
        <v>104</v>
      </c>
      <c r="F209" t="s">
        <v>12</v>
      </c>
      <c r="G209" t="s">
        <v>15</v>
      </c>
      <c r="H209" s="10" t="s">
        <v>88</v>
      </c>
    </row>
    <row r="210" spans="1:8" x14ac:dyDescent="0.35">
      <c r="A210">
        <v>64920</v>
      </c>
      <c r="C210" s="1">
        <v>45915</v>
      </c>
      <c r="D210" t="s">
        <v>7</v>
      </c>
      <c r="E210" t="s">
        <v>104</v>
      </c>
      <c r="F210" t="s">
        <v>12</v>
      </c>
      <c r="G210" t="s">
        <v>15</v>
      </c>
      <c r="H210" s="2" t="s">
        <v>77</v>
      </c>
    </row>
    <row r="211" spans="1:8" ht="16" x14ac:dyDescent="0.4">
      <c r="A211">
        <v>64921</v>
      </c>
      <c r="C211" s="1">
        <v>45915</v>
      </c>
      <c r="D211" t="s">
        <v>7</v>
      </c>
      <c r="E211" t="s">
        <v>104</v>
      </c>
      <c r="F211" t="s">
        <v>12</v>
      </c>
      <c r="G211" t="s">
        <v>15</v>
      </c>
      <c r="H211" s="8" t="s">
        <v>60</v>
      </c>
    </row>
    <row r="212" spans="1:8" ht="16" x14ac:dyDescent="0.4">
      <c r="A212">
        <v>65838</v>
      </c>
      <c r="C212" s="1">
        <v>45915</v>
      </c>
      <c r="D212" t="s">
        <v>7</v>
      </c>
      <c r="E212" t="s">
        <v>104</v>
      </c>
      <c r="F212" t="s">
        <v>12</v>
      </c>
      <c r="G212" t="s">
        <v>15</v>
      </c>
      <c r="H212" s="8"/>
    </row>
    <row r="213" spans="1:8" ht="16" x14ac:dyDescent="0.4">
      <c r="A213">
        <v>62535</v>
      </c>
      <c r="C213" s="1">
        <v>45915</v>
      </c>
      <c r="D213" t="s">
        <v>7</v>
      </c>
      <c r="E213" t="s">
        <v>104</v>
      </c>
      <c r="F213" t="s">
        <v>12</v>
      </c>
      <c r="G213" t="s">
        <v>18</v>
      </c>
      <c r="H213" s="8" t="s">
        <v>89</v>
      </c>
    </row>
    <row r="214" spans="1:8" x14ac:dyDescent="0.35">
      <c r="A214">
        <v>62601</v>
      </c>
      <c r="C214" s="1">
        <v>45915</v>
      </c>
      <c r="D214" t="s">
        <v>7</v>
      </c>
      <c r="E214" t="s">
        <v>104</v>
      </c>
      <c r="F214" t="s">
        <v>12</v>
      </c>
      <c r="G214" t="s">
        <v>18</v>
      </c>
      <c r="H214" s="12" t="s">
        <v>89</v>
      </c>
    </row>
    <row r="215" spans="1:8" x14ac:dyDescent="0.35">
      <c r="A215">
        <v>62905</v>
      </c>
      <c r="C215" s="1">
        <v>45915</v>
      </c>
      <c r="D215" t="s">
        <v>7</v>
      </c>
      <c r="E215" t="s">
        <v>104</v>
      </c>
      <c r="F215" t="s">
        <v>12</v>
      </c>
      <c r="G215" t="s">
        <v>18</v>
      </c>
      <c r="H215" s="12" t="s">
        <v>90</v>
      </c>
    </row>
    <row r="216" spans="1:8" ht="16" x14ac:dyDescent="0.35">
      <c r="A216">
        <v>61573</v>
      </c>
      <c r="C216" s="1">
        <v>45915</v>
      </c>
      <c r="D216" t="s">
        <v>9</v>
      </c>
      <c r="E216" t="s">
        <v>105</v>
      </c>
      <c r="F216" t="s">
        <v>12</v>
      </c>
      <c r="G216" t="s">
        <v>17</v>
      </c>
      <c r="H216" s="13" t="s">
        <v>91</v>
      </c>
    </row>
    <row r="217" spans="1:8" x14ac:dyDescent="0.35">
      <c r="A217">
        <v>63488</v>
      </c>
      <c r="C217" s="1">
        <v>45915</v>
      </c>
      <c r="D217" t="s">
        <v>9</v>
      </c>
      <c r="E217" t="s">
        <v>105</v>
      </c>
      <c r="F217" t="s">
        <v>12</v>
      </c>
      <c r="G217" t="s">
        <v>17</v>
      </c>
      <c r="H217" s="2" t="s">
        <v>38</v>
      </c>
    </row>
    <row r="218" spans="1:8" x14ac:dyDescent="0.35">
      <c r="A218">
        <v>64514</v>
      </c>
      <c r="C218" s="1">
        <v>45915</v>
      </c>
      <c r="D218" t="s">
        <v>11</v>
      </c>
      <c r="E218" t="s">
        <v>104</v>
      </c>
      <c r="F218" t="s">
        <v>13</v>
      </c>
      <c r="G218" t="s">
        <v>24</v>
      </c>
      <c r="H218" s="2" t="s">
        <v>38</v>
      </c>
    </row>
    <row r="219" spans="1:8" x14ac:dyDescent="0.35">
      <c r="A219">
        <v>64515</v>
      </c>
      <c r="C219" s="1">
        <v>45915</v>
      </c>
      <c r="D219" t="s">
        <v>11</v>
      </c>
      <c r="E219" t="s">
        <v>104</v>
      </c>
      <c r="F219" t="s">
        <v>13</v>
      </c>
      <c r="G219" t="s">
        <v>24</v>
      </c>
      <c r="H219" s="2" t="s">
        <v>38</v>
      </c>
    </row>
    <row r="220" spans="1:8" ht="16" x14ac:dyDescent="0.4">
      <c r="A220">
        <v>65778</v>
      </c>
      <c r="C220" s="1">
        <v>45915</v>
      </c>
      <c r="D220" t="s">
        <v>9</v>
      </c>
      <c r="E220" t="s">
        <v>105</v>
      </c>
      <c r="F220" t="s">
        <v>12</v>
      </c>
      <c r="G220" t="s">
        <v>20</v>
      </c>
      <c r="H220" s="8" t="s">
        <v>60</v>
      </c>
    </row>
    <row r="221" spans="1:8" x14ac:dyDescent="0.35">
      <c r="A221">
        <v>61554</v>
      </c>
      <c r="C221" s="1">
        <v>45915</v>
      </c>
      <c r="D221" t="s">
        <v>8</v>
      </c>
      <c r="E221" t="s">
        <v>105</v>
      </c>
      <c r="F221" t="s">
        <v>12</v>
      </c>
      <c r="G221" t="s">
        <v>16</v>
      </c>
      <c r="H221" s="11" t="s">
        <v>85</v>
      </c>
    </row>
    <row r="222" spans="1:8" x14ac:dyDescent="0.35">
      <c r="A222">
        <v>65017</v>
      </c>
      <c r="C222" s="1">
        <v>45931</v>
      </c>
      <c r="D222" t="s">
        <v>8</v>
      </c>
      <c r="E222" t="s">
        <v>105</v>
      </c>
      <c r="F222" t="s">
        <v>12</v>
      </c>
      <c r="G222" t="s">
        <v>22</v>
      </c>
      <c r="H222" s="16" t="s">
        <v>77</v>
      </c>
    </row>
    <row r="223" spans="1:8" x14ac:dyDescent="0.35">
      <c r="A223">
        <v>63548</v>
      </c>
      <c r="C223" s="1">
        <v>45931</v>
      </c>
      <c r="D223" t="s">
        <v>8</v>
      </c>
      <c r="E223" t="s">
        <v>105</v>
      </c>
      <c r="F223" t="s">
        <v>12</v>
      </c>
      <c r="G223" t="s">
        <v>27</v>
      </c>
      <c r="H223" s="16" t="s">
        <v>108</v>
      </c>
    </row>
    <row r="224" spans="1:8" x14ac:dyDescent="0.35">
      <c r="A224">
        <v>65398</v>
      </c>
      <c r="C224" s="17">
        <v>45918</v>
      </c>
      <c r="D224" t="s">
        <v>6</v>
      </c>
      <c r="E224" t="s">
        <v>104</v>
      </c>
      <c r="F224" t="s">
        <v>12</v>
      </c>
      <c r="G224" t="s">
        <v>81</v>
      </c>
      <c r="H224" s="18" t="s">
        <v>109</v>
      </c>
    </row>
    <row r="225" spans="1:8" x14ac:dyDescent="0.35">
      <c r="A225">
        <v>61004</v>
      </c>
      <c r="C225" s="17">
        <v>45947</v>
      </c>
      <c r="D225" t="s">
        <v>7</v>
      </c>
      <c r="E225" t="s">
        <v>104</v>
      </c>
      <c r="F225" t="s">
        <v>12</v>
      </c>
      <c r="G225" t="s">
        <v>23</v>
      </c>
      <c r="H225" s="18" t="s">
        <v>62</v>
      </c>
    </row>
    <row r="226" spans="1:8" x14ac:dyDescent="0.35">
      <c r="A226">
        <v>66047</v>
      </c>
      <c r="C226" s="17">
        <v>45952</v>
      </c>
      <c r="D226" t="s">
        <v>8</v>
      </c>
      <c r="E226" t="s">
        <v>105</v>
      </c>
      <c r="F226" t="s">
        <v>12</v>
      </c>
      <c r="G226" t="s">
        <v>22</v>
      </c>
      <c r="H226" s="18" t="s">
        <v>77</v>
      </c>
    </row>
    <row r="227" spans="1:8" x14ac:dyDescent="0.35">
      <c r="A227">
        <v>66035</v>
      </c>
      <c r="C227" s="17">
        <v>45952</v>
      </c>
      <c r="D227" t="s">
        <v>8</v>
      </c>
      <c r="E227" t="s">
        <v>105</v>
      </c>
      <c r="F227" t="s">
        <v>12</v>
      </c>
      <c r="G227" t="s">
        <v>22</v>
      </c>
      <c r="H227" s="18" t="s">
        <v>77</v>
      </c>
    </row>
    <row r="228" spans="1:8" x14ac:dyDescent="0.35">
      <c r="A228">
        <v>65616</v>
      </c>
      <c r="C228" s="17">
        <v>45952</v>
      </c>
      <c r="D228" t="s">
        <v>8</v>
      </c>
      <c r="E228" t="s">
        <v>105</v>
      </c>
      <c r="F228" t="s">
        <v>12</v>
      </c>
      <c r="G228" t="s">
        <v>22</v>
      </c>
      <c r="H228" s="18" t="s">
        <v>77</v>
      </c>
    </row>
    <row r="229" spans="1:8" x14ac:dyDescent="0.35">
      <c r="A229">
        <v>66740</v>
      </c>
      <c r="C229" s="17">
        <v>45953</v>
      </c>
      <c r="D229" t="s">
        <v>10</v>
      </c>
      <c r="E229" t="s">
        <v>105</v>
      </c>
      <c r="F229" t="s">
        <v>12</v>
      </c>
      <c r="G229" t="s">
        <v>111</v>
      </c>
      <c r="H229" s="18" t="s">
        <v>77</v>
      </c>
    </row>
    <row r="230" spans="1:8" x14ac:dyDescent="0.35">
      <c r="A230">
        <v>66384</v>
      </c>
      <c r="C230" s="17">
        <v>45953</v>
      </c>
      <c r="D230" t="s">
        <v>10</v>
      </c>
      <c r="E230" t="s">
        <v>105</v>
      </c>
      <c r="F230" t="s">
        <v>12</v>
      </c>
      <c r="G230" t="s">
        <v>111</v>
      </c>
      <c r="H230" s="18" t="s">
        <v>77</v>
      </c>
    </row>
    <row r="231" spans="1:8" x14ac:dyDescent="0.35">
      <c r="A231">
        <v>64595</v>
      </c>
      <c r="C231" s="17">
        <v>45944</v>
      </c>
      <c r="D231" t="s">
        <v>9</v>
      </c>
      <c r="E231" t="s">
        <v>105</v>
      </c>
      <c r="F231" t="s">
        <v>12</v>
      </c>
      <c r="G231" t="s">
        <v>20</v>
      </c>
      <c r="H231" t="s">
        <v>110</v>
      </c>
    </row>
    <row r="232" spans="1:8" x14ac:dyDescent="0.35">
      <c r="C232" s="1"/>
    </row>
    <row r="233" spans="1:8" x14ac:dyDescent="0.35">
      <c r="C233" s="1"/>
      <c r="H233" s="11"/>
    </row>
    <row r="234" spans="1:8" x14ac:dyDescent="0.35">
      <c r="C234" s="1"/>
      <c r="H234" s="11"/>
    </row>
    <row r="235" spans="1:8" x14ac:dyDescent="0.35">
      <c r="C235" s="1"/>
      <c r="H235" s="11"/>
    </row>
    <row r="236" spans="1:8" x14ac:dyDescent="0.35">
      <c r="C236" s="1"/>
      <c r="H236" s="11"/>
    </row>
    <row r="237" spans="1:8" x14ac:dyDescent="0.35">
      <c r="C237" s="1"/>
      <c r="H237" s="11"/>
    </row>
    <row r="238" spans="1:8" x14ac:dyDescent="0.35">
      <c r="C238" s="1"/>
      <c r="H238" s="11"/>
    </row>
    <row r="239" spans="1:8" x14ac:dyDescent="0.35">
      <c r="C239" s="1"/>
      <c r="H239" s="11"/>
    </row>
    <row r="240" spans="1:8" x14ac:dyDescent="0.35">
      <c r="C240" s="1"/>
      <c r="H240" s="11"/>
    </row>
  </sheetData>
  <conditionalFormatting sqref="A222:A224">
    <cfRule type="duplicateValues" dxfId="2" priority="13"/>
    <cfRule type="duplicateValues" dxfId="1" priority="15"/>
    <cfRule type="duplicateValues" dxfId="0" priority="16"/>
  </conditionalFormatting>
  <pageMargins left="0.7" right="0.7" top="0.75" bottom="0.75" header="0.3" footer="0.3"/>
  <headerFooter>
    <oddFooter>&amp;C_x000D_&amp;1#&amp;"VW Head Light"&amp;10&amp;K00253E CONFIDENTIAL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8AF51-9D2C-4096-A5A1-64C5A0AC4F87}">
  <dimension ref="A3:Z65"/>
  <sheetViews>
    <sheetView topLeftCell="K1" zoomScale="85" zoomScaleNormal="85" workbookViewId="0">
      <selection activeCell="N5" sqref="N5"/>
    </sheetView>
  </sheetViews>
  <sheetFormatPr defaultRowHeight="14.5" x14ac:dyDescent="0.35"/>
  <cols>
    <col min="1" max="1" width="17.453125" bestFit="1" customWidth="1"/>
    <col min="2" max="2" width="47.36328125" bestFit="1" customWidth="1"/>
    <col min="3" max="3" width="21.54296875" bestFit="1" customWidth="1"/>
    <col min="4" max="4" width="19.36328125" bestFit="1" customWidth="1"/>
    <col min="5" max="5" width="17.453125" bestFit="1" customWidth="1"/>
    <col min="6" max="6" width="17.90625" bestFit="1" customWidth="1"/>
    <col min="7" max="7" width="25.08984375" bestFit="1" customWidth="1"/>
    <col min="8" max="8" width="38.08984375" bestFit="1" customWidth="1"/>
    <col min="9" max="9" width="17.453125" bestFit="1" customWidth="1"/>
    <col min="10" max="10" width="14" bestFit="1" customWidth="1"/>
    <col min="11" max="11" width="21.54296875" bestFit="1" customWidth="1"/>
  </cols>
  <sheetData>
    <row r="3" spans="1:26" x14ac:dyDescent="0.35">
      <c r="A3" s="14" t="s">
        <v>92</v>
      </c>
      <c r="B3" t="s">
        <v>100</v>
      </c>
      <c r="C3" t="s">
        <v>101</v>
      </c>
      <c r="F3" s="14" t="s">
        <v>92</v>
      </c>
      <c r="G3" t="s">
        <v>100</v>
      </c>
      <c r="H3" t="s">
        <v>101</v>
      </c>
      <c r="J3" s="14" t="s">
        <v>92</v>
      </c>
      <c r="K3" t="s">
        <v>100</v>
      </c>
      <c r="L3" t="s">
        <v>101</v>
      </c>
      <c r="N3" s="14" t="s">
        <v>92</v>
      </c>
      <c r="O3" t="s">
        <v>100</v>
      </c>
      <c r="P3" t="s">
        <v>101</v>
      </c>
      <c r="T3" s="14" t="s">
        <v>92</v>
      </c>
      <c r="U3" t="s">
        <v>103</v>
      </c>
      <c r="X3" s="14" t="s">
        <v>92</v>
      </c>
      <c r="Y3" t="s">
        <v>100</v>
      </c>
      <c r="Z3" t="s">
        <v>101</v>
      </c>
    </row>
    <row r="4" spans="1:26" x14ac:dyDescent="0.35">
      <c r="A4" s="6" t="s">
        <v>93</v>
      </c>
      <c r="B4">
        <v>30</v>
      </c>
      <c r="F4" s="6" t="s">
        <v>13</v>
      </c>
      <c r="G4">
        <v>12</v>
      </c>
      <c r="H4">
        <v>2</v>
      </c>
      <c r="J4" s="6" t="s">
        <v>105</v>
      </c>
      <c r="K4">
        <v>109</v>
      </c>
      <c r="L4">
        <v>13</v>
      </c>
      <c r="N4" s="6" t="s">
        <v>9</v>
      </c>
      <c r="O4">
        <v>74</v>
      </c>
      <c r="P4">
        <v>5</v>
      </c>
      <c r="T4" s="6" t="s">
        <v>77</v>
      </c>
      <c r="U4">
        <v>60</v>
      </c>
      <c r="X4" s="6" t="s">
        <v>38</v>
      </c>
      <c r="Y4">
        <v>55</v>
      </c>
      <c r="Z4">
        <v>3</v>
      </c>
    </row>
    <row r="5" spans="1:26" x14ac:dyDescent="0.35">
      <c r="A5" s="6" t="s">
        <v>94</v>
      </c>
      <c r="B5">
        <v>16</v>
      </c>
      <c r="F5" s="6" t="s">
        <v>12</v>
      </c>
      <c r="G5">
        <v>181</v>
      </c>
      <c r="H5">
        <v>35</v>
      </c>
      <c r="J5" s="6" t="s">
        <v>104</v>
      </c>
      <c r="K5">
        <v>84</v>
      </c>
      <c r="L5">
        <v>24</v>
      </c>
      <c r="N5" s="6" t="s">
        <v>7</v>
      </c>
      <c r="O5">
        <v>46</v>
      </c>
      <c r="P5">
        <v>15</v>
      </c>
      <c r="T5" s="6" t="s">
        <v>38</v>
      </c>
      <c r="U5">
        <v>58</v>
      </c>
      <c r="X5" s="6" t="s">
        <v>79</v>
      </c>
      <c r="Y5">
        <v>1</v>
      </c>
    </row>
    <row r="6" spans="1:26" x14ac:dyDescent="0.35">
      <c r="A6" s="6" t="s">
        <v>95</v>
      </c>
      <c r="B6">
        <v>13</v>
      </c>
      <c r="N6" s="6" t="s">
        <v>11</v>
      </c>
      <c r="O6">
        <v>29</v>
      </c>
      <c r="P6">
        <v>3</v>
      </c>
      <c r="T6" s="6" t="s">
        <v>60</v>
      </c>
      <c r="U6">
        <v>16</v>
      </c>
      <c r="X6" s="6" t="s">
        <v>59</v>
      </c>
      <c r="Y6">
        <v>1</v>
      </c>
    </row>
    <row r="7" spans="1:26" x14ac:dyDescent="0.35">
      <c r="A7" s="6" t="s">
        <v>96</v>
      </c>
      <c r="B7">
        <v>9</v>
      </c>
      <c r="N7" s="6" t="s">
        <v>10</v>
      </c>
      <c r="O7">
        <v>7</v>
      </c>
      <c r="P7">
        <v>2</v>
      </c>
      <c r="T7" s="6" t="s">
        <v>33</v>
      </c>
      <c r="U7">
        <v>15</v>
      </c>
      <c r="X7" s="6" t="s">
        <v>49</v>
      </c>
      <c r="Y7">
        <v>1</v>
      </c>
    </row>
    <row r="8" spans="1:26" x14ac:dyDescent="0.35">
      <c r="A8" s="6" t="s">
        <v>97</v>
      </c>
      <c r="B8">
        <v>22</v>
      </c>
      <c r="N8" s="6" t="s">
        <v>6</v>
      </c>
      <c r="O8">
        <v>9</v>
      </c>
      <c r="P8">
        <v>6</v>
      </c>
      <c r="T8" s="6" t="s">
        <v>48</v>
      </c>
      <c r="U8">
        <v>3</v>
      </c>
      <c r="X8" s="6" t="s">
        <v>89</v>
      </c>
      <c r="Z8">
        <v>2</v>
      </c>
    </row>
    <row r="9" spans="1:26" x14ac:dyDescent="0.35">
      <c r="A9" s="6" t="s">
        <v>98</v>
      </c>
      <c r="B9">
        <v>48</v>
      </c>
      <c r="N9" s="6" t="s">
        <v>8</v>
      </c>
      <c r="O9">
        <v>28</v>
      </c>
      <c r="P9">
        <v>6</v>
      </c>
      <c r="X9" s="6" t="s">
        <v>67</v>
      </c>
      <c r="Y9">
        <v>1</v>
      </c>
    </row>
    <row r="10" spans="1:26" x14ac:dyDescent="0.35">
      <c r="A10" s="6" t="s">
        <v>99</v>
      </c>
      <c r="B10">
        <v>55</v>
      </c>
      <c r="C10">
        <v>28</v>
      </c>
      <c r="D10">
        <v>82</v>
      </c>
      <c r="X10" s="6" t="s">
        <v>52</v>
      </c>
      <c r="Y10">
        <v>1</v>
      </c>
    </row>
    <row r="11" spans="1:26" x14ac:dyDescent="0.35">
      <c r="A11" s="6" t="s">
        <v>112</v>
      </c>
      <c r="C11">
        <v>9</v>
      </c>
      <c r="E11">
        <f>AVERAGE(GETPIVOTDATA("Contagem de N° DN",$A$3,"Meses (DATA DO DESCREDENCIAMENTO)",7),GETPIVOTDATA("Contagem de N° DN",$A$3,"Meses (DATA DO DESCREDENCIAMENTO)",8),D10)</f>
        <v>50.666666666666664</v>
      </c>
      <c r="X11" s="6" t="s">
        <v>65</v>
      </c>
      <c r="Y11">
        <v>1</v>
      </c>
    </row>
    <row r="12" spans="1:26" x14ac:dyDescent="0.35">
      <c r="X12" s="6" t="s">
        <v>78</v>
      </c>
      <c r="Y12">
        <v>1</v>
      </c>
    </row>
    <row r="13" spans="1:26" x14ac:dyDescent="0.35">
      <c r="X13" s="6" t="s">
        <v>62</v>
      </c>
      <c r="Y13">
        <v>1</v>
      </c>
      <c r="Z13">
        <v>1</v>
      </c>
    </row>
    <row r="14" spans="1:26" x14ac:dyDescent="0.35">
      <c r="X14" s="6" t="s">
        <v>37</v>
      </c>
      <c r="Y14">
        <v>1</v>
      </c>
    </row>
    <row r="15" spans="1:26" x14ac:dyDescent="0.35">
      <c r="X15" s="6" t="s">
        <v>54</v>
      </c>
      <c r="Y15">
        <v>1</v>
      </c>
    </row>
    <row r="16" spans="1:26" x14ac:dyDescent="0.35">
      <c r="X16" s="6" t="s">
        <v>57</v>
      </c>
      <c r="Y16">
        <v>1</v>
      </c>
    </row>
    <row r="17" spans="24:26" x14ac:dyDescent="0.35">
      <c r="X17" s="6" t="s">
        <v>61</v>
      </c>
      <c r="Y17">
        <v>1</v>
      </c>
    </row>
    <row r="18" spans="24:26" x14ac:dyDescent="0.35">
      <c r="X18" s="6" t="s">
        <v>69</v>
      </c>
      <c r="Y18">
        <v>1</v>
      </c>
    </row>
    <row r="19" spans="24:26" x14ac:dyDescent="0.35">
      <c r="X19" s="6" t="s">
        <v>75</v>
      </c>
      <c r="Y19">
        <v>1</v>
      </c>
    </row>
    <row r="20" spans="24:26" x14ac:dyDescent="0.35">
      <c r="X20" s="6" t="s">
        <v>70</v>
      </c>
      <c r="Y20">
        <v>1</v>
      </c>
    </row>
    <row r="21" spans="24:26" x14ac:dyDescent="0.35">
      <c r="X21" s="6" t="s">
        <v>68</v>
      </c>
      <c r="Y21">
        <v>1</v>
      </c>
    </row>
    <row r="22" spans="24:26" x14ac:dyDescent="0.35">
      <c r="X22" s="6" t="s">
        <v>102</v>
      </c>
      <c r="Z22">
        <v>1</v>
      </c>
    </row>
    <row r="23" spans="24:26" x14ac:dyDescent="0.35">
      <c r="X23" s="6" t="s">
        <v>50</v>
      </c>
      <c r="Y23">
        <v>1</v>
      </c>
    </row>
    <row r="24" spans="24:26" x14ac:dyDescent="0.35">
      <c r="X24" s="6" t="s">
        <v>71</v>
      </c>
      <c r="Y24">
        <v>1</v>
      </c>
    </row>
    <row r="25" spans="24:26" x14ac:dyDescent="0.35">
      <c r="X25" s="6" t="s">
        <v>73</v>
      </c>
      <c r="Y25">
        <v>1</v>
      </c>
    </row>
    <row r="26" spans="24:26" x14ac:dyDescent="0.35">
      <c r="X26" s="6" t="s">
        <v>72</v>
      </c>
      <c r="Y26">
        <v>1</v>
      </c>
    </row>
    <row r="27" spans="24:26" x14ac:dyDescent="0.35">
      <c r="X27" s="6" t="s">
        <v>77</v>
      </c>
      <c r="Y27">
        <v>53</v>
      </c>
      <c r="Z27">
        <v>7</v>
      </c>
    </row>
    <row r="28" spans="24:26" x14ac:dyDescent="0.35">
      <c r="X28" s="6" t="s">
        <v>31</v>
      </c>
      <c r="Y28">
        <v>2</v>
      </c>
    </row>
    <row r="29" spans="24:26" x14ac:dyDescent="0.35">
      <c r="X29" s="6" t="s">
        <v>60</v>
      </c>
      <c r="Y29">
        <v>13</v>
      </c>
      <c r="Z29">
        <v>3</v>
      </c>
    </row>
    <row r="30" spans="24:26" x14ac:dyDescent="0.35">
      <c r="X30" s="6" t="s">
        <v>87</v>
      </c>
      <c r="Z30">
        <v>1</v>
      </c>
    </row>
    <row r="31" spans="24:26" x14ac:dyDescent="0.35">
      <c r="X31" s="6" t="s">
        <v>82</v>
      </c>
      <c r="Z31">
        <v>1</v>
      </c>
    </row>
    <row r="32" spans="24:26" x14ac:dyDescent="0.35">
      <c r="X32" s="6" t="s">
        <v>40</v>
      </c>
      <c r="Y32">
        <v>1</v>
      </c>
    </row>
    <row r="33" spans="24:26" x14ac:dyDescent="0.35">
      <c r="X33" s="6" t="s">
        <v>53</v>
      </c>
      <c r="Y33">
        <v>2</v>
      </c>
    </row>
    <row r="34" spans="24:26" x14ac:dyDescent="0.35">
      <c r="X34" s="6" t="s">
        <v>48</v>
      </c>
      <c r="Y34">
        <v>3</v>
      </c>
    </row>
    <row r="35" spans="24:26" x14ac:dyDescent="0.35">
      <c r="X35" s="6" t="s">
        <v>32</v>
      </c>
      <c r="Y35">
        <v>1</v>
      </c>
    </row>
    <row r="36" spans="24:26" x14ac:dyDescent="0.35">
      <c r="X36" s="6" t="s">
        <v>44</v>
      </c>
      <c r="Y36">
        <v>2</v>
      </c>
    </row>
    <row r="37" spans="24:26" x14ac:dyDescent="0.35">
      <c r="X37" s="6" t="s">
        <v>51</v>
      </c>
      <c r="Y37">
        <v>1</v>
      </c>
    </row>
    <row r="38" spans="24:26" x14ac:dyDescent="0.35">
      <c r="X38" s="6" t="s">
        <v>84</v>
      </c>
      <c r="Z38">
        <v>2</v>
      </c>
    </row>
    <row r="39" spans="24:26" x14ac:dyDescent="0.35">
      <c r="X39" s="6" t="s">
        <v>74</v>
      </c>
      <c r="Y39">
        <v>2</v>
      </c>
    </row>
    <row r="40" spans="24:26" x14ac:dyDescent="0.35">
      <c r="X40" s="6" t="s">
        <v>91</v>
      </c>
      <c r="Z40">
        <v>2</v>
      </c>
    </row>
    <row r="41" spans="24:26" x14ac:dyDescent="0.35">
      <c r="X41" s="6" t="s">
        <v>85</v>
      </c>
      <c r="Z41">
        <v>2</v>
      </c>
    </row>
    <row r="42" spans="24:26" x14ac:dyDescent="0.35">
      <c r="X42" s="6" t="s">
        <v>88</v>
      </c>
      <c r="Z42">
        <v>1</v>
      </c>
    </row>
    <row r="43" spans="24:26" x14ac:dyDescent="0.35">
      <c r="X43" s="6" t="s">
        <v>64</v>
      </c>
      <c r="Y43">
        <v>1</v>
      </c>
    </row>
    <row r="44" spans="24:26" x14ac:dyDescent="0.35">
      <c r="X44" s="6" t="s">
        <v>36</v>
      </c>
      <c r="Y44">
        <v>1</v>
      </c>
    </row>
    <row r="45" spans="24:26" x14ac:dyDescent="0.35">
      <c r="X45" s="6" t="s">
        <v>76</v>
      </c>
      <c r="Y45">
        <v>2</v>
      </c>
    </row>
    <row r="46" spans="24:26" x14ac:dyDescent="0.35">
      <c r="X46" s="6" t="s">
        <v>55</v>
      </c>
      <c r="Y46">
        <v>1</v>
      </c>
    </row>
    <row r="47" spans="24:26" x14ac:dyDescent="0.35">
      <c r="X47" s="6" t="s">
        <v>66</v>
      </c>
      <c r="Y47">
        <v>1</v>
      </c>
    </row>
    <row r="48" spans="24:26" x14ac:dyDescent="0.35">
      <c r="X48" s="6" t="s">
        <v>45</v>
      </c>
      <c r="Y48">
        <v>1</v>
      </c>
    </row>
    <row r="49" spans="24:26" x14ac:dyDescent="0.35">
      <c r="X49" s="6" t="s">
        <v>58</v>
      </c>
      <c r="Y49">
        <v>1</v>
      </c>
    </row>
    <row r="50" spans="24:26" x14ac:dyDescent="0.35">
      <c r="X50" s="6" t="s">
        <v>33</v>
      </c>
      <c r="Y50">
        <v>15</v>
      </c>
    </row>
    <row r="51" spans="24:26" x14ac:dyDescent="0.35">
      <c r="X51" s="6" t="s">
        <v>56</v>
      </c>
      <c r="Y51">
        <v>2</v>
      </c>
    </row>
    <row r="52" spans="24:26" x14ac:dyDescent="0.35">
      <c r="X52" s="6" t="s">
        <v>35</v>
      </c>
      <c r="Y52">
        <v>1</v>
      </c>
    </row>
    <row r="53" spans="24:26" x14ac:dyDescent="0.35">
      <c r="X53" s="6" t="s">
        <v>39</v>
      </c>
      <c r="Y53">
        <v>2</v>
      </c>
    </row>
    <row r="54" spans="24:26" x14ac:dyDescent="0.35">
      <c r="X54" s="6" t="s">
        <v>34</v>
      </c>
      <c r="Y54">
        <v>2</v>
      </c>
    </row>
    <row r="55" spans="24:26" x14ac:dyDescent="0.35">
      <c r="X55" s="6" t="s">
        <v>43</v>
      </c>
      <c r="Y55">
        <v>1</v>
      </c>
    </row>
    <row r="56" spans="24:26" x14ac:dyDescent="0.35">
      <c r="X56" s="6" t="s">
        <v>90</v>
      </c>
      <c r="Z56">
        <v>1</v>
      </c>
    </row>
    <row r="57" spans="24:26" x14ac:dyDescent="0.35">
      <c r="X57" s="6" t="s">
        <v>30</v>
      </c>
      <c r="Y57">
        <v>1</v>
      </c>
    </row>
    <row r="58" spans="24:26" x14ac:dyDescent="0.35">
      <c r="X58" s="6" t="s">
        <v>47</v>
      </c>
      <c r="Y58">
        <v>2</v>
      </c>
    </row>
    <row r="59" spans="24:26" x14ac:dyDescent="0.35">
      <c r="X59" s="6" t="s">
        <v>63</v>
      </c>
      <c r="Y59">
        <v>1</v>
      </c>
    </row>
    <row r="60" spans="24:26" x14ac:dyDescent="0.35">
      <c r="X60" s="6" t="s">
        <v>46</v>
      </c>
      <c r="Y60">
        <v>1</v>
      </c>
    </row>
    <row r="61" spans="24:26" x14ac:dyDescent="0.35">
      <c r="X61" s="6" t="s">
        <v>41</v>
      </c>
      <c r="Y61">
        <v>1</v>
      </c>
    </row>
    <row r="62" spans="24:26" x14ac:dyDescent="0.35">
      <c r="X62" s="6" t="s">
        <v>42</v>
      </c>
      <c r="Y62">
        <v>1</v>
      </c>
    </row>
    <row r="63" spans="24:26" x14ac:dyDescent="0.35">
      <c r="X63" s="6" t="s">
        <v>107</v>
      </c>
      <c r="Z63">
        <v>8</v>
      </c>
    </row>
    <row r="64" spans="24:26" x14ac:dyDescent="0.35">
      <c r="X64" s="6" t="s">
        <v>109</v>
      </c>
      <c r="Z64">
        <v>1</v>
      </c>
    </row>
    <row r="65" spans="24:26" x14ac:dyDescent="0.35">
      <c r="X65" s="6" t="s">
        <v>110</v>
      </c>
      <c r="Z65">
        <v>1</v>
      </c>
    </row>
  </sheetData>
  <pageMargins left="0.511811024" right="0.511811024" top="0.78740157499999996" bottom="0.78740157499999996" header="0.31496062000000002" footer="0.31496062000000002"/>
  <headerFooter>
    <oddFooter>&amp;C_x000D_&amp;1#&amp;"VW Head Light"&amp;10&amp;K00253E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B05C6-8349-45CB-ACFB-C5A679C54F89}">
  <sheetPr>
    <pageSetUpPr autoPageBreaks="0"/>
  </sheetPr>
  <dimension ref="A1"/>
  <sheetViews>
    <sheetView tabSelected="1" zoomScale="46" zoomScaleNormal="67" workbookViewId="0">
      <selection activeCell="AN32" sqref="AN32"/>
    </sheetView>
  </sheetViews>
  <sheetFormatPr defaultColWidth="8.90625" defaultRowHeight="14.5" x14ac:dyDescent="0.35"/>
  <cols>
    <col min="1" max="16384" width="8.90625" style="15"/>
  </cols>
  <sheetData/>
  <pageMargins left="0.511811024" right="0.511811024" top="0.78740157499999996" bottom="0.78740157499999996" header="0.31496062000000002" footer="0.31496062000000002"/>
  <pageSetup orientation="portrait" r:id="rId1"/>
  <headerFooter>
    <oddFooter>&amp;C_x000D_&amp;1#&amp;"VW Head Light"&amp;10&amp;K00253E CONFIDENTIAL</oddFooter>
  </headerFooter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</vt:lpstr>
      <vt:lpstr>TABELA DINAMICA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Andrade, Matheus de Oliveira (EXTERN)</dc:creator>
  <cp:lastModifiedBy>Andrade, Matheus de Oliveira</cp:lastModifiedBy>
  <dcterms:created xsi:type="dcterms:W3CDTF">2015-06-05T18:17:20Z</dcterms:created>
  <dcterms:modified xsi:type="dcterms:W3CDTF">2026-10-28T16:00:29Z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2e0931-9693-4af0-8365-6e6adfe7420e_Enabled">
    <vt:lpwstr>true</vt:lpwstr>
  </property>
  <property fmtid="{D5CDD505-2E9C-101B-9397-08002B2CF9AE}" pid="3" name="MSIP_Label_242e0931-9693-4af0-8365-6e6adfe7420e_SetDate">
    <vt:lpwstr>2026-10-28T16:00:29Z</vt:lpwstr>
  </property>
  <property fmtid="{D5CDD505-2E9C-101B-9397-08002B2CF9AE}" pid="4" name="MSIP_Label_242e0931-9693-4af0-8365-6e6adfe7420e_Method">
    <vt:lpwstr>Standard</vt:lpwstr>
  </property>
  <property fmtid="{D5CDD505-2E9C-101B-9397-08002B2CF9AE}" pid="5" name="MSIP_Label_242e0931-9693-4af0-8365-6e6adfe7420e_Name">
    <vt:lpwstr>Confidential - no protection</vt:lpwstr>
  </property>
  <property fmtid="{D5CDD505-2E9C-101B-9397-08002B2CF9AE}" pid="6" name="MSIP_Label_242e0931-9693-4af0-8365-6e6adfe7420e_SiteId">
    <vt:lpwstr>86daed4e-33a7-45bf-b2c1-3137516ac9b7</vt:lpwstr>
  </property>
  <property fmtid="{D5CDD505-2E9C-101B-9397-08002B2CF9AE}" pid="7" name="MSIP_Label_242e0931-9693-4af0-8365-6e6adfe7420e_ActionId">
    <vt:lpwstr>0d143ce0-49cc-475d-b881-1c4bae904dce</vt:lpwstr>
  </property>
  <property fmtid="{D5CDD505-2E9C-101B-9397-08002B2CF9AE}" pid="8" name="MSIP_Label_242e0931-9693-4af0-8365-6e6adfe7420e_ContentBits">
    <vt:lpwstr>3</vt:lpwstr>
  </property>
  <property fmtid="{D5CDD505-2E9C-101B-9397-08002B2CF9AE}" pid="9" name="MSIP_Label_242e0931-9693-4af0-8365-6e6adfe7420e_Tag">
    <vt:lpwstr>10, 3, 0, 1</vt:lpwstr>
  </property>
</Properties>
</file>